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envatting" sheetId="1" state="visible" r:id="rId3"/>
    <sheet name="Aannames" sheetId="2" state="visible" r:id="rId4"/>
    <sheet name="Kostprijs per klant" sheetId="3" state="visible" r:id="rId5"/>
    <sheet name="Scena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<sst xmlns="http://schemas.openxmlformats.org/spreadsheetml/2006/main" count="94" uniqueCount="90">
  <si>
    <t xml:space="preserve">Uurivo — Kostprijs voor Ecofinity</t>
  </si>
  <si>
    <t xml:space="preserve">Wat het ons kost om de app te draaien voor klanten — bijgewerkt september 2026, voor het gesprek bij Swatt</t>
  </si>
  <si>
    <t xml:space="preserve">OPZET PER NIEUWE KLANT</t>
  </si>
  <si>
    <t xml:space="preserve">PER KLANT / MAAND</t>
  </si>
  <si>
    <t xml:space="preserve">PER EXTRA MEDEWERKER</t>
  </si>
  <si>
    <t xml:space="preserve">eenmalig, per klant</t>
  </si>
  <si>
    <t xml:space="preserve">vaste infrastructuur (basisscenario)</t>
  </si>
  <si>
    <t xml:space="preserve">binnen een bestaande klant</t>
  </si>
  <si>
    <t xml:space="preserve">PER EXTRA KLANT</t>
  </si>
  <si>
    <t xml:space="preserve">Eenmalig (opzet)</t>
  </si>
  <si>
    <t xml:space="preserve">Maandelijks terugkerend</t>
  </si>
  <si>
    <t xml:space="preserve">Wat dit betekent in mensentaal</t>
  </si>
  <si>
    <t xml:space="preserve">•  De app draait single-tenant: elke klant krijgt een eigen, volledig gescheiden omgeving (eigen server + eigen databank). Dat is waarom een NIEUWE KLANT wél een extra vaste maandkost met zich meebrengt (±€12/maand aan Render), terwijl een EXTRA MEDEWERKER bij een bestaande klant nagenoeg niets kost — dezelfde server en databank verwerken gewoon iets meer gebruik.</t>
  </si>
  <si>
    <t xml:space="preserve">•  Vercel (de frontend-hosting) is een gedeelde, vaste kost van ±€17/maand — die betaal je maar één keer, ongeacht of je 1 of 10 klanten hebt. Hoe meer klanten, hoe lager de gemiddelde kost per klant wordt (zie tabblad 'Scenario': van €29/maand bij 1 klant naar €14/maand bij 10 klanten).</t>
  </si>
  <si>
    <t xml:space="preserve">•  Resend (e-mail) en OpenRouteService (km-vergoeding) blijven bij het huidige verwachte gebruik gratis, ook bij meerdere klanten samen.</t>
  </si>
  <si>
    <t xml:space="preserve">•  De 'opzetkost' is voornamelijk jouw eigen arbeidstijd (Render/Vercel/Teamleader-koppeling instellen) — geen harde factuur van een leverancier. Pas dit gerust aan op het tabblad 'Aannames' naar je eigen uurtarief.</t>
  </si>
  <si>
    <t xml:space="preserve">Zie de overige tabbladen voor het volledige detail en de onderliggende bronnen: 'Aannames' (prijzen per dienst), 'Kostprijs per klant' (volledige opbouw), 'Scenario' (kost bij meerdere klanten).</t>
  </si>
  <si>
    <t xml:space="preserve">Uurivo — Kostprijs-aannames (infrastructuur)</t>
  </si>
  <si>
    <t xml:space="preserve">Bron: prijzen van Render, Vercel, Resend en OpenRouteService, opgezocht september 2026. Pas de blauwe cellen aan indien prijzen wijzigen.</t>
  </si>
  <si>
    <t xml:space="preserve">Wisselkoers</t>
  </si>
  <si>
    <t xml:space="preserve">1 USD in EUR</t>
  </si>
  <si>
    <t xml:space="preserve">Bron: ECB-referentiekoers / Xe.com, 5 september 2026 (1 EUR ≈ 1,1623 USD). Wissel regelmatig na — Render/Vercel/Resend factureren in USD.</t>
  </si>
  <si>
    <t xml:space="preserve">Render (backend-hosting) — per klant, want elke klant heeft een eigen, aparte omgeving (single-tenant)</t>
  </si>
  <si>
    <t xml:space="preserve">Web Service — Starter (always-on, 1 API-server)</t>
  </si>
  <si>
    <t xml:space="preserve">Bron: render.com/pricing, geraadpleegd sept. 2026. Nodig zodat de app 24/7 bereikbaar is (geen 'inslapen' na inactiviteit).</t>
  </si>
  <si>
    <t xml:space="preserve">PostgreSQL — Basic 256MB (database)</t>
  </si>
  <si>
    <t xml:space="preserve">Bron: render.com/pricing. Voldoende voor een KMO-klant (werkbonnen, foto's, PDF's) — groeit mee indien nodig (+$0,30/GB extra).</t>
  </si>
  <si>
    <t xml:space="preserve">Redis/Key Value — Starter (optioneel, enkel bij hoog volume)</t>
  </si>
  <si>
    <t xml:space="preserve">Bron: render.com/pricing. De app draait bewust met een 'inline'-synchronisatiemodus die dit vermijdt voor de meeste klanten (zie RUN_SYNC_WORKER_INLINE in de code) — enkel nodig bij een klant met écht hoog volume.</t>
  </si>
  <si>
    <t xml:space="preserve">Vercel (frontend-hosting) — gedeeld over ALLE klanten samen</t>
  </si>
  <si>
    <t xml:space="preserve">Vercel Pro — per teamlid/seat (niet per klant-project)</t>
  </si>
  <si>
    <t xml:space="preserve">Bron: vercel.com/pricing, sept. 2026. Eén Pro-account (1 seat) kan onbeperkt veel klant-projecten hosten — dit is dus een VASTE kost, niet per klant.</t>
  </si>
  <si>
    <t xml:space="preserve">Aantal seats nodig (meestal 1, tenzij meerdere ontwikkelaars)</t>
  </si>
  <si>
    <t xml:space="preserve">Overige diensten — gedeeld over ALLE klanten samen, blijven in de praktijk gratis</t>
  </si>
  <si>
    <t xml:space="preserve">Resend (e-mail: uitnodigingen, herinneringen, werkbon-PDF's)</t>
  </si>
  <si>
    <t xml:space="preserve">Bron: resend.com/pricing. Gratis tot 3.000 mails/maand (100/dag) — ruim voldoende voor meerdere KMO-klanten samen. Pas op: 1 domein gratis, extra domeinen vereisen de $20/maand Pro-laag.</t>
  </si>
  <si>
    <t xml:space="preserve">OpenRouteService (km-vergoeding, afstandsberekening)</t>
  </si>
  <si>
    <t xml:space="preserve">Bron: openrouteservice.org. Gratis tot 2.500 aanvragen/dag — de app roept dit enkel op bij een adreswijziging van een klant, dus verwaarloosbaar volume.</t>
  </si>
  <si>
    <t xml:space="preserve">Domein/subdomein per klant (bv. klant1.uurivo.be)</t>
  </si>
  <si>
    <t xml:space="preserve">Subdomeinen van een eigen, al aangekocht domein (bv. uurivo.be, ±€15/jaar) zijn gratis aan te maken — geen extra domeinregistratie per klant nodig.</t>
  </si>
  <si>
    <t xml:space="preserve">Arbeidstijd opzet (jouw eigen tijd, geen harde infrastructuurkost)</t>
  </si>
  <si>
    <t xml:space="preserve">Geschat aantal uren opzet per nieuwe klant</t>
  </si>
  <si>
    <t xml:space="preserve">Render-service + database aanmaken, Vercel-project + subdomein koppelen, Teamleader-OAuth-koppeling instellen, klant-specifieke instellingen invoeren. Pas gerust aan naar jouw eigen ervaring.</t>
  </si>
  <si>
    <t xml:space="preserve">Jouw uurtarief (€)</t>
  </si>
  <si>
    <t xml:space="preserve">Vul hier je eigen (interne) uurtarief in — dit bepaalt de 'opzetkost' in het overzicht. Geen externe bron; pas aan naar wat past.</t>
  </si>
  <si>
    <t xml:space="preserve">Uurivo — Kostprijs voor Ecofinity (per klant, per medewerker, per extra klant)</t>
  </si>
  <si>
    <t xml:space="preserve">Alle bedragen in EUR, omgerekend vanaf de USD-brontarieven op het tabblad 'Aannames'. Single-tenant opzet: elke klant krijgt een eigen, aparte Render-omgeving.</t>
  </si>
  <si>
    <t xml:space="preserve">A. Eenmalige opzetkosten per nieuwe klant</t>
  </si>
  <si>
    <t xml:space="preserve">Post</t>
  </si>
  <si>
    <t xml:space="preserve">Bedrag</t>
  </si>
  <si>
    <t xml:space="preserve">Arbeidstijd opzet (uren × uurtarief)</t>
  </si>
  <si>
    <t xml:space="preserve">Harde infrastructuurkost bij opzet (domein/registratie)</t>
  </si>
  <si>
    <t xml:space="preserve">TOTAAL eenmalige opzetkost per nieuwe klant</t>
  </si>
  <si>
    <t xml:space="preserve">B. Maandelijkse kost per klant (vaste infrastructuur, ongeacht aantal medewerkers)</t>
  </si>
  <si>
    <t xml:space="preserve">Bedrag/maand</t>
  </si>
  <si>
    <t xml:space="preserve">Van toepassing</t>
  </si>
  <si>
    <t xml:space="preserve">Render Web Service (API-server, eigen omgeving per klant)</t>
  </si>
  <si>
    <t xml:space="preserve">Elke klant</t>
  </si>
  <si>
    <t xml:space="preserve">Render PostgreSQL (databank, eigen omgeving per klant)</t>
  </si>
  <si>
    <t xml:space="preserve">Render Redis/Key Value (enkel bij hoog volume — optioneel)</t>
  </si>
  <si>
    <t xml:space="preserve">Enkel indien nodig</t>
  </si>
  <si>
    <t xml:space="preserve">Vercel Pro (gedeeld over alle klanten, per klant verrekend)</t>
  </si>
  <si>
    <t xml:space="preserve">Gedeeld</t>
  </si>
  <si>
    <t xml:space="preserve">→ zie tabblad 'Scenario' voor de verdeling over meerdere klanten</t>
  </si>
  <si>
    <t xml:space="preserve">Resend, OpenRouteService, domein (blijven in de praktijk gratis)</t>
  </si>
  <si>
    <t xml:space="preserve">TOTAAL per klant/maand — basisscenario (zonder Redis)</t>
  </si>
  <si>
    <t xml:space="preserve">TOTAAL per klant/maand — met Redis (hoog-volume-klant)</t>
  </si>
  <si>
    <t xml:space="preserve">C. Marginale kost per extra medewerker (binnen een bestaande klant)</t>
  </si>
  <si>
    <t xml:space="preserve">Extra Render-verbruik (opslag/rekenkracht) per medewerker</t>
  </si>
  <si>
    <t xml:space="preserve">Verwaarloosbaar zolang de klant op de Starter-tier blijft (zie hieronder voor de opschaal-drempel).</t>
  </si>
  <si>
    <t xml:space="preserve">TOTAAL per extra medewerker</t>
  </si>
  <si>
    <t xml:space="preserve">Let op — opschaal-drempel:</t>
  </si>
  <si>
    <t xml:space="preserve">Bij een klant met veel medewerkers/foto's/werkbonnen (indicatief &gt; 30-40 gebruikers) kan de Starter-tier ($7) te krap worden qua RAM/CPU. Opschalen naar Render Standard kost dan $25/maand i.p.v. $7 — dus +€</t>
  </si>
  <si>
    <t xml:space="preserve">D. Marginale kost per extra klant (nieuwe, volledig aparte omgeving)</t>
  </si>
  <si>
    <t xml:space="preserve">Maandelijks terugkerend (100% toewijsbaar aan deze ene klant: Render)</t>
  </si>
  <si>
    <t xml:space="preserve">Vercel/Resend/OpenRouteService blijven vlak ongeacht het aantal klanten — zie tabblad Scenario voor hoe de GEMIDDELDE kost per klant daardoor daalt naarmate je groeit.</t>
  </si>
  <si>
    <t xml:space="preserve">Uurivo — Scenario: aantal klanten (invoercel)</t>
  </si>
  <si>
    <t xml:space="preserve">Basisinvoer</t>
  </si>
  <si>
    <t xml:space="preserve">Aantal actieve klanten (voor de Vercel-verdeling op sheet 2)</t>
  </si>
  <si>
    <t xml:space="preserve">Scenario-overzicht: totale maandelijkse infrastructuurkost bij X klanten</t>
  </si>
  <si>
    <t xml:space="preserve">Aantal klanten</t>
  </si>
  <si>
    <t xml:space="preserve">Toelichting</t>
  </si>
  <si>
    <t xml:space="preserve">Render (Web Service + PostgreSQL) — per klant</t>
  </si>
  <si>
    <t xml:space="preserve">Vercel Pro (gedeeld, 1 seat volstaat tot een tiental klanten)</t>
  </si>
  <si>
    <t xml:space="preserve">Vaste kost, ongeacht aantal klanten (tot je effectief een 2e seat nodig hebt bij veel gelijktijdige ontwikkelaars).</t>
  </si>
  <si>
    <t xml:space="preserve">Resend / OpenRouteService / domein (gedeeld, blijft gratis)</t>
  </si>
  <si>
    <t xml:space="preserve">TOTAAL maandelijkse kost</t>
  </si>
  <si>
    <t xml:space="preserve">Gemiddelde kost per klant/maand</t>
  </si>
  <si>
    <t xml:space="preserve">Eénmalige opzetkost bij dit aantal klanten (arbeidstijd × aantal)</t>
  </si>
  <si>
    <t xml:space="preserve">Let op: dit toont enkel jouw infrastructuurkost (Ecofinity). Wat je zelf aan de klant aanrekent (jouw prijsplan/marge) staat los hiervan — zie het aparte document 'prijsplannen-klanten' voor de verkoopprijs.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</si>
</sst>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€ &quot;#,##0.00;&quot;(€ &quot;#,##0.00\);\-"/>
    <numFmt numFmtId="166" formatCode="&quot;€ &quot;#,##0.00"/>
    <numFmt numFmtId="167" formatCode="0.00"/>
    <numFmt numFmtId="168" formatCode="\$#,##0.00;&quot;($&quot;#,##0.00\);\-"/>
    <numFmt numFmtId="169" formatCode="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9CA3AF"/>
      <name val="Arial"/>
      <family val="0"/>
      <charset val="1"/>
    </font>
    <font>
      <i val="true"/>
      <sz val="9"/>
      <color rgb="FFD1D5DB"/>
      <name val="Arial"/>
      <family val="0"/>
      <charset val="1"/>
    </font>
    <font>
      <i val="true"/>
      <sz val="9"/>
      <color rgb="FFE5E7EB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374151"/>
        <bgColor rgb="FF4B5563"/>
      </patternFill>
    </fill>
    <fill>
      <patternFill patternType="solid">
        <fgColor rgb="FF4B5563"/>
        <bgColor rgb="FF666666"/>
      </patternFill>
    </fill>
    <fill>
      <patternFill patternType="solid">
        <fgColor rgb="FFF0B90B"/>
        <bgColor rgb="FFFF9900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FFD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0B90B"/>
      <rgbColor rgb="FFFF9900"/>
      <rgbColor rgb="FFFF6600"/>
      <rgbColor rgb="FF666666"/>
      <rgbColor rgb="FF9CA3AF"/>
      <rgbColor rgb="FF003366"/>
      <rgbColor rgb="FF339966"/>
      <rgbColor rgb="FF003300"/>
      <rgbColor rgb="FF4B5563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4" min="2" style="1" width="30"/>
    <col collapsed="false" customWidth="true" hidden="false" outlineLevel="0" max="5" min="5" style="1" width="4"/>
  </cols>
  <sheetData>
    <row r="1" customFormat="false" ht="7.5" hidden="false" customHeight="true" outlineLevel="0" collapsed="false"/>
    <row r="2" customFormat="false" ht="19.5" hidden="false" customHeight="true" outlineLevel="0" collapsed="false">
      <c r="B2" s="2" t="s">
        <v>0</v>
      </c>
      <c r="C2" s="2"/>
      <c r="D2" s="2"/>
    </row>
    <row r="3" customFormat="false" ht="15" hidden="false" customHeight="true" outlineLevel="0" collapsed="false">
      <c r="B3" s="3" t="s">
        <v>1</v>
      </c>
      <c r="C3" s="3"/>
      <c r="D3" s="3"/>
    </row>
    <row r="6" customFormat="false" ht="15" hidden="false" customHeight="true" outlineLevel="0" collapsed="false">
      <c r="B6" s="4" t="s">
        <v>2</v>
      </c>
      <c r="C6" s="5" t="s">
        <v>3</v>
      </c>
      <c r="D6" s="6" t="s">
        <v>4</v>
      </c>
    </row>
    <row r="7" customFormat="false" ht="15" hidden="false" customHeight="true" outlineLevel="0" collapsed="false">
      <c r="B7" s="4"/>
      <c r="C7" s="4"/>
      <c r="D7" s="4"/>
    </row>
    <row r="8" customFormat="false" ht="15" hidden="false" customHeight="true" outlineLevel="0" collapsed="false">
      <c r="B8" s="7" t="n">
        <f aca="false">'Kostprijs per klant'!B8</f>
        <v>260</v>
      </c>
      <c r="C8" s="8" t="n">
        <f aca="false">'Kostprijs per klant'!B17</f>
        <v>29.24</v>
      </c>
      <c r="D8" s="9" t="n">
        <f aca="false">'Kostprijs per klant'!B22</f>
        <v>0</v>
      </c>
    </row>
    <row r="9" customFormat="false" ht="15" hidden="false" customHeight="true" outlineLevel="0" collapsed="false">
      <c r="B9" s="7"/>
      <c r="C9" s="7"/>
      <c r="D9" s="7"/>
    </row>
    <row r="10" customFormat="false" ht="15" hidden="false" customHeight="true" outlineLevel="0" collapsed="false">
      <c r="B10" s="10" t="s">
        <v>5</v>
      </c>
      <c r="C10" s="11" t="s">
        <v>6</v>
      </c>
      <c r="D10" s="12" t="s">
        <v>7</v>
      </c>
    </row>
    <row r="12" customFormat="false" ht="15" hidden="false" customHeight="true" outlineLevel="0" collapsed="false">
      <c r="B12" s="13" t="s">
        <v>8</v>
      </c>
      <c r="C12" s="13"/>
      <c r="D12" s="13"/>
    </row>
    <row r="13" customFormat="false" ht="15" hidden="false" customHeight="true" outlineLevel="0" collapsed="false">
      <c r="B13" s="14" t="s">
        <v>9</v>
      </c>
      <c r="C13" s="15" t="n">
        <f aca="false">'Kostprijs per klant'!B27</f>
        <v>260</v>
      </c>
    </row>
    <row r="14" customFormat="false" ht="15" hidden="false" customHeight="true" outlineLevel="0" collapsed="false">
      <c r="B14" s="14" t="s">
        <v>10</v>
      </c>
      <c r="C14" s="15" t="n">
        <f aca="false">'Kostprijs per klant'!B28</f>
        <v>12.04</v>
      </c>
    </row>
    <row r="16" customFormat="false" ht="15" hidden="false" customHeight="true" outlineLevel="0" collapsed="false">
      <c r="B16" s="13" t="s">
        <v>11</v>
      </c>
      <c r="C16" s="13"/>
      <c r="D16" s="13"/>
    </row>
    <row r="17" customFormat="false" ht="60" hidden="false" customHeight="true" outlineLevel="0" collapsed="false">
      <c r="B17" s="16" t="s">
        <v>12</v>
      </c>
      <c r="C17" s="16"/>
      <c r="D17" s="16"/>
    </row>
    <row r="18" customFormat="false" ht="60" hidden="false" customHeight="true" outlineLevel="0" collapsed="false">
      <c r="B18" s="16" t="s">
        <v>13</v>
      </c>
      <c r="C18" s="16"/>
      <c r="D18" s="16"/>
    </row>
    <row r="19" customFormat="false" ht="60" hidden="false" customHeight="true" outlineLevel="0" collapsed="false">
      <c r="B19" s="16" t="s">
        <v>14</v>
      </c>
      <c r="C19" s="16"/>
      <c r="D19" s="16"/>
    </row>
    <row r="20" customFormat="false" ht="60" hidden="false" customHeight="true" outlineLevel="0" collapsed="false">
      <c r="B20" s="16" t="s">
        <v>15</v>
      </c>
      <c r="C20" s="16"/>
      <c r="D20" s="16"/>
    </row>
    <row r="22" customFormat="false" ht="15" hidden="false" customHeight="true" outlineLevel="0" collapsed="false">
      <c r="B22" s="17" t="s">
        <v>16</v>
      </c>
      <c r="C22" s="17"/>
      <c r="D22" s="17"/>
    </row>
  </sheetData>
  <mergeCells count="15">
    <mergeCell ref="B2:D2"/>
    <mergeCell ref="B3:D3"/>
    <mergeCell ref="B6:B7"/>
    <mergeCell ref="C6:C7"/>
    <mergeCell ref="D6:D7"/>
    <mergeCell ref="B8:B9"/>
    <mergeCell ref="C8:C9"/>
    <mergeCell ref="D8:D9"/>
    <mergeCell ref="B12:D12"/>
    <mergeCell ref="B16:D16"/>
    <mergeCell ref="B17:D17"/>
    <mergeCell ref="B18:D18"/>
    <mergeCell ref="B19:D19"/>
    <mergeCell ref="B20:D20"/>
    <mergeCell ref="B22:D2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50"/>
    <col collapsed="false" customWidth="true" hidden="false" outlineLevel="0" max="7" min="6" style="1" width="4"/>
  </cols>
  <sheetData>
    <row r="1" customFormat="false" ht="17.25" hidden="false" customHeight="true" outlineLevel="0" collapsed="false">
      <c r="A1" s="18" t="s">
        <v>17</v>
      </c>
    </row>
    <row r="2" customFormat="false" ht="15" hidden="false" customHeight="true" outlineLevel="0" collapsed="false">
      <c r="A2" s="3" t="s">
        <v>18</v>
      </c>
      <c r="B2" s="3"/>
      <c r="C2" s="3"/>
      <c r="D2" s="3"/>
      <c r="E2" s="3"/>
    </row>
    <row r="4" customFormat="false" ht="15" hidden="false" customHeight="true" outlineLevel="0" collapsed="false">
      <c r="A4" s="13" t="s">
        <v>19</v>
      </c>
      <c r="B4" s="13"/>
      <c r="C4" s="13"/>
      <c r="D4" s="13"/>
      <c r="E4" s="13"/>
    </row>
    <row r="5" customFormat="false" ht="15" hidden="false" customHeight="true" outlineLevel="0" collapsed="false">
      <c r="A5" s="1" t="s">
        <v>20</v>
      </c>
      <c r="B5" s="19" t="n">
        <v>0.86</v>
      </c>
      <c r="E5" s="20" t="s">
        <v>21</v>
      </c>
    </row>
    <row r="7" customFormat="false" ht="15" hidden="false" customHeight="true" outlineLevel="0" collapsed="false">
      <c r="A7" s="13" t="s">
        <v>22</v>
      </c>
      <c r="B7" s="13"/>
      <c r="C7" s="13"/>
      <c r="D7" s="13"/>
      <c r="E7" s="13"/>
    </row>
    <row r="8" customFormat="false" ht="15" hidden="false" customHeight="true" outlineLevel="0" collapsed="false">
      <c r="A8" s="1" t="s">
        <v>23</v>
      </c>
      <c r="B8" s="21" t="n">
        <v>7</v>
      </c>
      <c r="E8" s="20" t="s">
        <v>24</v>
      </c>
    </row>
    <row r="9" customFormat="false" ht="15" hidden="false" customHeight="true" outlineLevel="0" collapsed="false">
      <c r="A9" s="1" t="s">
        <v>25</v>
      </c>
      <c r="B9" s="21" t="n">
        <v>7</v>
      </c>
      <c r="E9" s="20" t="s">
        <v>26</v>
      </c>
    </row>
    <row r="10" customFormat="false" ht="15" hidden="false" customHeight="true" outlineLevel="0" collapsed="false">
      <c r="A10" s="1" t="s">
        <v>27</v>
      </c>
      <c r="B10" s="21" t="n">
        <v>10</v>
      </c>
      <c r="E10" s="20" t="s">
        <v>28</v>
      </c>
    </row>
    <row r="12" customFormat="false" ht="15" hidden="false" customHeight="true" outlineLevel="0" collapsed="false">
      <c r="A12" s="13" t="s">
        <v>29</v>
      </c>
      <c r="B12" s="13"/>
      <c r="C12" s="13"/>
      <c r="D12" s="13"/>
      <c r="E12" s="13"/>
    </row>
    <row r="13" customFormat="false" ht="15" hidden="false" customHeight="true" outlineLevel="0" collapsed="false">
      <c r="A13" s="1" t="s">
        <v>30</v>
      </c>
      <c r="B13" s="21" t="n">
        <v>20</v>
      </c>
      <c r="E13" s="20" t="s">
        <v>31</v>
      </c>
    </row>
    <row r="14" customFormat="false" ht="15" hidden="false" customHeight="true" outlineLevel="0" collapsed="false">
      <c r="A14" s="1" t="s">
        <v>32</v>
      </c>
      <c r="B14" s="22" t="n">
        <v>1</v>
      </c>
    </row>
    <row r="16" customFormat="false" ht="15" hidden="false" customHeight="true" outlineLevel="0" collapsed="false">
      <c r="A16" s="13" t="s">
        <v>33</v>
      </c>
      <c r="B16" s="13"/>
      <c r="C16" s="13"/>
      <c r="D16" s="13"/>
      <c r="E16" s="13"/>
    </row>
    <row r="17" customFormat="false" ht="15" hidden="false" customHeight="true" outlineLevel="0" collapsed="false">
      <c r="A17" s="1" t="s">
        <v>34</v>
      </c>
      <c r="B17" s="21" t="n">
        <v>0</v>
      </c>
      <c r="E17" s="20" t="s">
        <v>35</v>
      </c>
    </row>
    <row r="18" customFormat="false" ht="15" hidden="false" customHeight="true" outlineLevel="0" collapsed="false">
      <c r="A18" s="1" t="s">
        <v>36</v>
      </c>
      <c r="B18" s="21" t="n">
        <v>0</v>
      </c>
      <c r="E18" s="20" t="s">
        <v>37</v>
      </c>
    </row>
    <row r="19" customFormat="false" ht="15" hidden="false" customHeight="true" outlineLevel="0" collapsed="false">
      <c r="A19" s="1" t="s">
        <v>38</v>
      </c>
      <c r="B19" s="21" t="n">
        <v>0</v>
      </c>
      <c r="E19" s="20" t="s">
        <v>39</v>
      </c>
    </row>
    <row r="21" customFormat="false" ht="15" hidden="false" customHeight="true" outlineLevel="0" collapsed="false">
      <c r="A21" s="13" t="s">
        <v>40</v>
      </c>
      <c r="B21" s="13"/>
      <c r="C21" s="13"/>
      <c r="D21" s="13"/>
      <c r="E21" s="13"/>
    </row>
    <row r="22" customFormat="false" ht="15" hidden="false" customHeight="true" outlineLevel="0" collapsed="false">
      <c r="A22" s="1" t="s">
        <v>41</v>
      </c>
      <c r="B22" s="22" t="n">
        <v>4</v>
      </c>
      <c r="E22" s="20" t="s">
        <v>42</v>
      </c>
    </row>
    <row r="23" customFormat="false" ht="15" hidden="false" customHeight="true" outlineLevel="0" collapsed="false">
      <c r="A23" s="1" t="s">
        <v>43</v>
      </c>
      <c r="B23" s="23" t="n">
        <v>65</v>
      </c>
      <c r="E23" s="20" t="s">
        <v>44</v>
      </c>
    </row>
  </sheetData>
  <mergeCells count="6">
    <mergeCell ref="A2:E2"/>
    <mergeCell ref="A4:E4"/>
    <mergeCell ref="A7:E7"/>
    <mergeCell ref="A12:E12"/>
    <mergeCell ref="A16:E16"/>
    <mergeCell ref="A21:E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3" min="2" style="1" width="16"/>
    <col collapsed="false" customWidth="true" hidden="false" outlineLevel="0" max="4" min="4" style="1" width="4"/>
    <col collapsed="false" customWidth="true" hidden="false" outlineLevel="0" max="8" min="5" style="1" width="20"/>
  </cols>
  <sheetData>
    <row r="1" customFormat="false" ht="17.25" hidden="false" customHeight="true" outlineLevel="0" collapsed="false">
      <c r="A1" s="24" t="s">
        <v>45</v>
      </c>
      <c r="B1" s="24"/>
      <c r="C1" s="24"/>
    </row>
    <row r="2" customFormat="false" ht="1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3" t="s">
        <v>47</v>
      </c>
      <c r="B4" s="13"/>
      <c r="C4" s="13"/>
    </row>
    <row r="5" customFormat="false" ht="15" hidden="false" customHeight="true" outlineLevel="0" collapsed="false">
      <c r="A5" s="25" t="s">
        <v>48</v>
      </c>
      <c r="B5" s="25" t="s">
        <v>49</v>
      </c>
    </row>
    <row r="6" customFormat="false" ht="15" hidden="false" customHeight="true" outlineLevel="0" collapsed="false">
      <c r="A6" s="26" t="s">
        <v>50</v>
      </c>
      <c r="B6" s="27" t="n">
        <f aca="false">Aannames!$B$22*Aannames!$B$23</f>
        <v>260</v>
      </c>
    </row>
    <row r="7" customFormat="false" ht="15" hidden="false" customHeight="true" outlineLevel="0" collapsed="false">
      <c r="A7" s="26" t="s">
        <v>51</v>
      </c>
      <c r="B7" s="27" t="n">
        <f aca="false">Aannames!$B$19*Aannames!$B$5</f>
        <v>0</v>
      </c>
    </row>
    <row r="8" customFormat="false" ht="15" hidden="false" customHeight="true" outlineLevel="0" collapsed="false">
      <c r="A8" s="28" t="s">
        <v>52</v>
      </c>
      <c r="B8" s="29" t="n">
        <f aca="false">SUM(B6:B7)</f>
        <v>260</v>
      </c>
    </row>
    <row r="10" customFormat="false" ht="15" hidden="false" customHeight="true" outlineLevel="0" collapsed="false">
      <c r="A10" s="13" t="s">
        <v>53</v>
      </c>
      <c r="B10" s="13"/>
      <c r="C10" s="13"/>
    </row>
    <row r="11" customFormat="false" ht="15" hidden="false" customHeight="true" outlineLevel="0" collapsed="false">
      <c r="A11" s="25" t="s">
        <v>48</v>
      </c>
      <c r="B11" s="25" t="s">
        <v>54</v>
      </c>
      <c r="C11" s="25" t="s">
        <v>55</v>
      </c>
    </row>
    <row r="12" customFormat="false" ht="15" hidden="false" customHeight="true" outlineLevel="0" collapsed="false">
      <c r="A12" s="26" t="s">
        <v>56</v>
      </c>
      <c r="B12" s="27" t="n">
        <f aca="false">Aannames!$B$8*Aannames!$B$5</f>
        <v>6.02</v>
      </c>
      <c r="C12" s="26" t="s">
        <v>57</v>
      </c>
    </row>
    <row r="13" customFormat="false" ht="15" hidden="false" customHeight="true" outlineLevel="0" collapsed="false">
      <c r="A13" s="26" t="s">
        <v>58</v>
      </c>
      <c r="B13" s="27" t="n">
        <f aca="false">Aannames!$B$9*Aannames!$B$5</f>
        <v>6.02</v>
      </c>
      <c r="C13" s="26" t="s">
        <v>57</v>
      </c>
    </row>
    <row r="14" customFormat="false" ht="15" hidden="false" customHeight="true" outlineLevel="0" collapsed="false">
      <c r="A14" s="26" t="s">
        <v>59</v>
      </c>
      <c r="B14" s="27" t="n">
        <f aca="false">Aannames!$B$10*Aannames!$B$5</f>
        <v>8.6</v>
      </c>
      <c r="C14" s="26" t="s">
        <v>60</v>
      </c>
    </row>
    <row r="15" customFormat="false" ht="15" hidden="false" customHeight="true" outlineLevel="0" collapsed="false">
      <c r="A15" s="26" t="s">
        <v>61</v>
      </c>
      <c r="B15" s="27" t="n">
        <f aca="false">(Aannames!$B$13*Aannames!$B$14*Aannames!$B$5)/MAX(1,Scenario!$B$4)</f>
        <v>17.2</v>
      </c>
      <c r="C15" s="26" t="s">
        <v>62</v>
      </c>
      <c r="D15" s="20" t="s">
        <v>63</v>
      </c>
    </row>
    <row r="16" customFormat="false" ht="15" hidden="false" customHeight="true" outlineLevel="0" collapsed="false">
      <c r="A16" s="26" t="s">
        <v>64</v>
      </c>
      <c r="B16" s="27" t="n">
        <f aca="false">(Aannames!$B$17+Aannames!$B$18)*Aannames!$B$5</f>
        <v>0</v>
      </c>
      <c r="C16" s="26" t="s">
        <v>62</v>
      </c>
    </row>
    <row r="17" customFormat="false" ht="15" hidden="false" customHeight="true" outlineLevel="0" collapsed="false">
      <c r="A17" s="28" t="s">
        <v>65</v>
      </c>
      <c r="B17" s="29" t="n">
        <f aca="false">B12+B13+B15+B16</f>
        <v>29.24</v>
      </c>
    </row>
    <row r="18" customFormat="false" ht="15" hidden="false" customHeight="true" outlineLevel="0" collapsed="false">
      <c r="A18" s="28" t="s">
        <v>66</v>
      </c>
      <c r="B18" s="29" t="n">
        <f aca="false">B17+B14</f>
        <v>37.84</v>
      </c>
    </row>
    <row r="20" customFormat="false" ht="15" hidden="false" customHeight="true" outlineLevel="0" collapsed="false">
      <c r="A20" s="13" t="s">
        <v>67</v>
      </c>
      <c r="B20" s="13"/>
      <c r="C20" s="13"/>
    </row>
    <row r="21" customFormat="false" ht="15" hidden="false" customHeight="true" outlineLevel="0" collapsed="false">
      <c r="A21" s="26" t="s">
        <v>68</v>
      </c>
      <c r="B21" s="30" t="n">
        <v>0</v>
      </c>
      <c r="D21" s="20" t="s">
        <v>69</v>
      </c>
    </row>
    <row r="22" customFormat="false" ht="15" hidden="false" customHeight="true" outlineLevel="0" collapsed="false">
      <c r="A22" s="28" t="s">
        <v>70</v>
      </c>
      <c r="B22" s="31" t="n">
        <f aca="false">B21</f>
        <v>0</v>
      </c>
    </row>
    <row r="23" customFormat="false" ht="15" hidden="false" customHeight="true" outlineLevel="0" collapsed="false">
      <c r="A23" s="32" t="s">
        <v>71</v>
      </c>
    </row>
    <row r="24" customFormat="false" ht="15" hidden="false" customHeight="true" outlineLevel="0" collapsed="false">
      <c r="A24" s="20" t="s">
        <v>72</v>
      </c>
      <c r="B24" s="33" t="n">
        <f aca="false">(25-7)*Aannames!$B$5</f>
        <v>15.48</v>
      </c>
    </row>
    <row r="26" customFormat="false" ht="15" hidden="false" customHeight="true" outlineLevel="0" collapsed="false">
      <c r="A26" s="13" t="s">
        <v>73</v>
      </c>
      <c r="B26" s="13"/>
      <c r="C26" s="13"/>
    </row>
    <row r="27" customFormat="false" ht="15" hidden="false" customHeight="true" outlineLevel="0" collapsed="false">
      <c r="A27" s="26" t="s">
        <v>9</v>
      </c>
      <c r="B27" s="27" t="n">
        <f aca="false">B8</f>
        <v>260</v>
      </c>
    </row>
    <row r="28" customFormat="false" ht="15" hidden="false" customHeight="true" outlineLevel="0" collapsed="false">
      <c r="A28" s="26" t="s">
        <v>74</v>
      </c>
      <c r="B28" s="27" t="n">
        <f aca="false">B12+B13</f>
        <v>12.04</v>
      </c>
      <c r="D28" s="20" t="s">
        <v>75</v>
      </c>
    </row>
  </sheetData>
  <mergeCells count="6">
    <mergeCell ref="A1:C1"/>
    <mergeCell ref="A2:H2"/>
    <mergeCell ref="A4:C4"/>
    <mergeCell ref="A10:C10"/>
    <mergeCell ref="A20:C20"/>
    <mergeCell ref="A26:C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24" t="s">
        <v>76</v>
      </c>
      <c r="B1" s="24"/>
    </row>
    <row r="3" customFormat="false" ht="15" hidden="false" customHeight="true" outlineLevel="0" collapsed="false">
      <c r="A3" s="13" t="s">
        <v>77</v>
      </c>
      <c r="B3" s="13"/>
    </row>
    <row r="4" customFormat="false" ht="15" hidden="false" customHeight="true" outlineLevel="0" collapsed="false">
      <c r="A4" s="1" t="s">
        <v>78</v>
      </c>
      <c r="B4" s="34" t="n">
        <v>1</v>
      </c>
    </row>
    <row r="6" customFormat="false" ht="15" hidden="false" customHeight="true" outlineLevel="0" collapsed="false">
      <c r="A6" s="13" t="s">
        <v>79</v>
      </c>
      <c r="B6" s="13"/>
      <c r="C6" s="13"/>
      <c r="D6" s="13"/>
      <c r="E6" s="13"/>
      <c r="F6" s="13"/>
      <c r="G6" s="13"/>
    </row>
    <row r="8" customFormat="false" ht="15" hidden="false" customHeight="true" outlineLevel="0" collapsed="false">
      <c r="A8" s="25" t="s">
        <v>80</v>
      </c>
      <c r="B8" s="25" t="n">
        <v>1</v>
      </c>
      <c r="C8" s="25" t="n">
        <v>2</v>
      </c>
      <c r="D8" s="25" t="n">
        <v>3</v>
      </c>
      <c r="E8" s="25" t="n">
        <v>5</v>
      </c>
      <c r="F8" s="25" t="n">
        <v>10</v>
      </c>
      <c r="G8" s="25" t="s">
        <v>81</v>
      </c>
    </row>
    <row r="9" customFormat="false" ht="15" hidden="false" customHeight="true" outlineLevel="0" collapsed="false">
      <c r="A9" s="26" t="s">
        <v>82</v>
      </c>
      <c r="B9" s="27" t="n">
        <f aca="false">('Kostprijs per klant'!$B$12+'Kostprijs per klant'!$B$13)*B8</f>
        <v>12.04</v>
      </c>
      <c r="C9" s="27" t="n">
        <f aca="false">('Kostprijs per klant'!$B$12+'Kostprijs per klant'!$B$13)*C8</f>
        <v>24.08</v>
      </c>
      <c r="D9" s="27" t="n">
        <f aca="false">('Kostprijs per klant'!$B$12+'Kostprijs per klant'!$B$13)*D8</f>
        <v>36.12</v>
      </c>
      <c r="E9" s="27" t="n">
        <f aca="false">('Kostprijs per klant'!$B$12+'Kostprijs per klant'!$B$13)*E8</f>
        <v>60.2</v>
      </c>
      <c r="F9" s="27" t="n">
        <f aca="false">('Kostprijs per klant'!$B$12+'Kostprijs per klant'!$B$13)*F8</f>
        <v>120.4</v>
      </c>
    </row>
    <row r="10" customFormat="false" ht="15" hidden="false" customHeight="true" outlineLevel="0" collapsed="false">
      <c r="A10" s="26" t="s">
        <v>83</v>
      </c>
      <c r="B10" s="27" t="n">
        <f aca="false">Aannames!$B$13*Aannames!$B$14*Aannames!$B$5</f>
        <v>17.2</v>
      </c>
      <c r="C10" s="27" t="n">
        <f aca="false">Aannames!$B$13*Aannames!$B$14*Aannames!$B$5</f>
        <v>17.2</v>
      </c>
      <c r="D10" s="27" t="n">
        <f aca="false">Aannames!$B$13*Aannames!$B$14*Aannames!$B$5</f>
        <v>17.2</v>
      </c>
      <c r="E10" s="27" t="n">
        <f aca="false">Aannames!$B$13*Aannames!$B$14*Aannames!$B$5</f>
        <v>17.2</v>
      </c>
      <c r="F10" s="27" t="n">
        <f aca="false">Aannames!$B$13*Aannames!$B$14*Aannames!$B$5</f>
        <v>17.2</v>
      </c>
      <c r="G10" s="20" t="s">
        <v>84</v>
      </c>
    </row>
    <row r="11" customFormat="false" ht="15" hidden="false" customHeight="true" outlineLevel="0" collapsed="false">
      <c r="A11" s="26" t="s">
        <v>85</v>
      </c>
      <c r="B11" s="27" t="n">
        <f aca="false">'Kostprijs per klant'!$B$16</f>
        <v>0</v>
      </c>
      <c r="C11" s="27" t="n">
        <f aca="false">'Kostprijs per klant'!$B$16</f>
        <v>0</v>
      </c>
      <c r="D11" s="27" t="n">
        <f aca="false">'Kostprijs per klant'!$B$16</f>
        <v>0</v>
      </c>
      <c r="E11" s="27" t="n">
        <f aca="false">'Kostprijs per klant'!$B$16</f>
        <v>0</v>
      </c>
      <c r="F11" s="27" t="n">
        <f aca="false">'Kostprijs per klant'!$B$16</f>
        <v>0</v>
      </c>
    </row>
    <row r="12" customFormat="false" ht="15" hidden="false" customHeight="true" outlineLevel="0" collapsed="false">
      <c r="A12" s="25" t="s">
        <v>86</v>
      </c>
      <c r="B12" s="35" t="n">
        <f aca="false">SUM(B9:B11)</f>
        <v>29.24</v>
      </c>
      <c r="C12" s="35" t="n">
        <f aca="false">SUM(C9:C11)</f>
        <v>41.28</v>
      </c>
      <c r="D12" s="35" t="n">
        <f aca="false">SUM(D9:D11)</f>
        <v>53.32</v>
      </c>
      <c r="E12" s="35" t="n">
        <f aca="false">SUM(E9:E11)</f>
        <v>77.4</v>
      </c>
      <c r="F12" s="35" t="n">
        <f aca="false">SUM(F9:F11)</f>
        <v>137.6</v>
      </c>
    </row>
    <row r="13" customFormat="false" ht="15" hidden="false" customHeight="true" outlineLevel="0" collapsed="false">
      <c r="A13" s="28" t="s">
        <v>87</v>
      </c>
      <c r="B13" s="29" t="n">
        <f aca="false">B12/B8</f>
        <v>29.24</v>
      </c>
      <c r="C13" s="29" t="n">
        <f aca="false">C12/C8</f>
        <v>20.64</v>
      </c>
      <c r="D13" s="29" t="n">
        <f aca="false">D12/D8</f>
        <v>17.7733333333333</v>
      </c>
      <c r="E13" s="29" t="n">
        <f aca="false">E12/E8</f>
        <v>15.48</v>
      </c>
      <c r="F13" s="29" t="n">
        <f aca="false">F12/F8</f>
        <v>13.76</v>
      </c>
    </row>
    <row r="15" customFormat="false" ht="15" hidden="false" customHeight="true" outlineLevel="0" collapsed="false">
      <c r="A15" s="26" t="s">
        <v>88</v>
      </c>
      <c r="B15" s="27" t="n">
        <f aca="false">'Kostprijs per klant'!$B$8*B8</f>
        <v>260</v>
      </c>
      <c r="C15" s="27" t="n">
        <f aca="false">'Kostprijs per klant'!$B$8*C8</f>
        <v>520</v>
      </c>
      <c r="D15" s="27" t="n">
        <f aca="false">'Kostprijs per klant'!$B$8*D8</f>
        <v>780</v>
      </c>
      <c r="E15" s="27" t="n">
        <f aca="false">'Kostprijs per klant'!$B$8*E8</f>
        <v>1300</v>
      </c>
      <c r="F15" s="27" t="n">
        <f aca="false">'Kostprijs per klant'!$B$8*F8</f>
        <v>2600</v>
      </c>
    </row>
    <row r="17" customFormat="false" ht="15" hidden="false" customHeight="true" outlineLevel="0" collapsed="false">
      <c r="A17" s="36" t="s">
        <v>89</v>
      </c>
      <c r="B17" s="36"/>
      <c r="C17" s="36"/>
      <c r="D17" s="36"/>
      <c r="E17" s="36"/>
      <c r="F17" s="36"/>
      <c r="G17" s="36"/>
    </row>
  </sheetData>
  <mergeCells count="4">
    <mergeCell ref="A1:B1"/>
    <mergeCell ref="A3:B3"/>
    <mergeCell ref="A6:G6"/>
    <mergeCell ref="A17:G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2026-09-05T06:40:46Z</dcterms:created>
  <dc:creator>openpyxl</dc:creator>
  <dc:description/>
  <dc:language>en-US</dc:language>
  <cp:lastModifiedBy/>
  <dcterms:modified xsi:type="dcterms:W3CDTF">2026-09-05T10:47:47Z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