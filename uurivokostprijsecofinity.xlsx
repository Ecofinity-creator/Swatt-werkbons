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envatting" sheetId="1" state="visible" r:id="rId3"/>
    <sheet name="Aannames" sheetId="2" state="visible" r:id="rId4"/>
    <sheet name="Kostprijs per klant" sheetId="3" state="visible" r:id="rId5"/>
    <sheet name="Scenario" sheetId="4" state="visible" r:id="rId6"/>
    <sheet name="Prijszetting klant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<sst xmlns="http://schemas.openxmlformats.org/spreadsheetml/2006/main" count="157" uniqueCount="145">
  <si>
    <t xml:space="preserve">Uurivo — Kostprijs voor Ecofinity</t>
  </si>
  <si>
    <t xml:space="preserve">Wat het ons kost om de app te draaien voor klanten — herzien 11 september 2026, voor het gesprek bij Swatt</t>
  </si>
  <si>
    <t xml:space="preserve">OPZET PER NIEUWE KLANT</t>
  </si>
  <si>
    <t xml:space="preserve">PER KLANT / MAAND</t>
  </si>
  <si>
    <t xml:space="preserve">PER EXTRA MEDEWERKER</t>
  </si>
  <si>
    <t xml:space="preserve">eenmalig, per klant</t>
  </si>
  <si>
    <t xml:space="preserve">vaste infrastructuur (basisscenario)</t>
  </si>
  <si>
    <t xml:space="preserve">binnen een bestaande klant</t>
  </si>
  <si>
    <t xml:space="preserve">PER EXTRA KLANT</t>
  </si>
  <si>
    <t xml:space="preserve">Eenmalig (opzet)</t>
  </si>
  <si>
    <t xml:space="preserve">Maandelijks terugkerend</t>
  </si>
  <si>
    <t xml:space="preserve">Wat dit betekent in mensentaal</t>
  </si>
  <si>
    <t xml:space="preserve">•  De app draait single-tenant: elke klant krijgt een eigen, volledig gescheiden omgeving (eigen server + eigen databank). Dat is waarom een NIEUWE KLANT wél een extra vaste maandkost met zich meebrengt (±€11/maand aan Render), terwijl een EXTRA MEDEWERKER bij een bestaande klant nagenoeg niets kost — dezelfde server en databank verwerken gewoon iets meer gebruik.</t>
  </si>
  <si>
    <t xml:space="preserve">•  Vercel (de frontend-hosting) is een gedeelde, vaste kost van ±€17/maand — die betaal je maar één keer, ongeacht of je 1 of 10 klanten hebt. Hoe meer klanten, hoe lager de gemiddelde kost per klant wordt (zie tabblad 'Scenario': van €28/maand bij 1 klant naar €13/maand bij 10 klanten).</t>
  </si>
  <si>
    <t xml:space="preserve">•  Resend (e-mail) en OpenRouteService (km-vergoeding) blijven bij het huidige verwachte gebruik gratis, ook bij meerdere klanten samen.</t>
  </si>
  <si>
    <t xml:space="preserve">•  De 'opzetkost' is voornamelijk jouw eigen arbeidstijd (Render/Vercel/Teamleader-koppeling instellen) — geen harde factuur van een leverancier. Pas dit gerust aan op het tabblad 'Aannames' naar je eigen uurtarief.</t>
  </si>
  <si>
    <t xml:space="preserve">•  Nieuw sinds deze herziening: Render rekent ook een apart, gedeeld workspace-abonnement aan zodra je in totaal meer dan 25 services (web services + databanken samen) draait — gratis tot dan, daarna vlak $25/maand. Bij 2 services/klant (het basisscenario) ligt die grens rond de 12 klanten — zie tabblad 'Scenario' onderaan voor het detail.</t>
  </si>
  <si>
    <t xml:space="preserve">Zie de overige tabbladen voor het volledige detail en de onderliggende bronnen: 'Aannames' (prijzen per dienst), 'Kostprijs per klant' (volledige opbouw), 'Scenario' (kost bij meerdere klanten).</t>
  </si>
  <si>
    <t xml:space="preserve">Uurivo — Kostprijs-aannames (infrastructuur)</t>
  </si>
  <si>
    <t xml:space="preserve">Bron: prijzen van Render, Vercel, Resend en OpenRouteService, herbevestigd 11 sept. 2026. Pas de blauwe cellen aan indien prijzen wijzigen.</t>
  </si>
  <si>
    <t xml:space="preserve">Wisselkoers</t>
  </si>
  <si>
    <t xml:space="preserve">1 USD in EUR</t>
  </si>
  <si>
    <t xml:space="preserve">Bron: ECB-referentiekoers / Trading Economics, herbevestigd 11 september 2026 (1 EUR ≈ 1,16 USD, dus 1 USD ≈ 0,86 EUR — ongewijzigd t.o.v. de vorige versie). Wissel regelmatig na — Render/Vercel/Resend factureren in USD.</t>
  </si>
  <si>
    <t xml:space="preserve">Render (backend-hosting) — per klant, want elke klant heeft een eigen, aparte omgeving (single-tenant)</t>
  </si>
  <si>
    <t xml:space="preserve">Web Service — Starter (always-on, 1 API-server)</t>
  </si>
  <si>
    <t xml:space="preserve">Bron: render.com/pricing, geraadpleegd sept. 2026. Nodig zodat de app 24/7 bereikbaar is (geen 'inslapen' na inactiviteit).</t>
  </si>
  <si>
    <t xml:space="preserve">PostgreSQL — Basic 256MB (database)</t>
  </si>
  <si>
    <t xml:space="preserve">Bron: render.com/pricing, herbevestigd 11 sept. 2026 — correctie t.o.v. de vorige versie van dit bestand (stond foutief op $7): Basic-256mb is $6/maand. Groeit mee indien nodig (+$0,30/GB extra).</t>
  </si>
  <si>
    <t xml:space="preserve">Redis/Key Value — Starter (optioneel, enkel bij hoog volume)</t>
  </si>
  <si>
    <t xml:space="preserve">Bron: render.com/pricing. De app draait bewust met een 'inline'-synchronisatiemodus die dit vermijdt voor de meeste klanten (zie RUN_SYNC_WORKER_INLINE in de code) — enkel nodig bij een klant met écht hoog volume.</t>
  </si>
  <si>
    <t xml:space="preserve">Vercel (frontend-hosting) — gedeeld over ALLE klanten samen</t>
  </si>
  <si>
    <t xml:space="preserve">Vercel Pro — per teamlid/seat (niet per klant-project)</t>
  </si>
  <si>
    <t xml:space="preserve">Bron: vercel.com/pricing, herbevestigd 11 sept. 2026 — $20/seat/maand, ongewijzigd. Hobby-plan blijft uitdrukkelijk niet-commercieel (“for personal, non-commercial use”) — Pro blijft dus vereist zodra er klanten gefactureerd worden.</t>
  </si>
  <si>
    <t xml:space="preserve">Aantal seats nodig (meestal 1, tenzij meerdere ontwikkelaars)</t>
  </si>
  <si>
    <t xml:space="preserve">Overige diensten — gedeeld over ALLE klanten samen, blijven in de praktijk gratis</t>
  </si>
  <si>
    <t xml:space="preserve">Resend (e-mail: uitnodigingen, herinneringen, werkbon-PDF's)</t>
  </si>
  <si>
    <t xml:space="preserve">Bron: resend.com/pricing, herbevestigd 11 sept. 2026. Gratis tot 3.000 mails/maand (100/dag) — ruim voldoende voor meerdere KMO-klanten samen. Correctie t.o.v. de vorige versie: het gratis plan omvat 3 domeinen (niet 1); nog meer domeinen vereist de $20/maand Domains-add-on.</t>
  </si>
  <si>
    <t xml:space="preserve">OpenRouteService (km-vergoeding, afstandsberekening)</t>
  </si>
  <si>
    <t xml:space="preserve">Bron: openrouteservice.org. Gratis tot 2.500 aanvragen/dag — de app roept dit enkel op bij een adreswijziging van een klant, dus verwaarloosbaar volume.</t>
  </si>
  <si>
    <t xml:space="preserve">Domein/subdomein per klant (bv. klant1.uurivo.be)</t>
  </si>
  <si>
    <t xml:space="preserve">Subdomeinen van een eigen, al aangekocht domein (bv. uurivo.be, ±€15/jaar) zijn gratis aan te maken — geen extra domeinregistratie per klant nodig.</t>
  </si>
  <si>
    <t xml:space="preserve">Arbeidstijd opzet (jouw eigen tijd, geen harde infrastructuurkost)</t>
  </si>
  <si>
    <t xml:space="preserve">Geschat aantal uren opzet per nieuwe klant</t>
  </si>
  <si>
    <t xml:space="preserve">Render-service + database aanmaken, Vercel-project + subdomein koppelen, Teamleader-OAuth-koppeling instellen, klant-specifieke instellingen invoeren. Pas gerust aan naar jouw eigen ervaring.</t>
  </si>
  <si>
    <t xml:space="preserve">Jouw uurtarief (€)</t>
  </si>
  <si>
    <t xml:space="preserve">Vul hier je eigen (interne) uurtarief in — dit bepaalt de 'opzetkost' in het overzicht. Geen externe bron; pas aan naar wat past.</t>
  </si>
  <si>
    <t xml:space="preserve">Render team-/workspace-abonnement — gedeeld over ALLE klanten, in sprongen (nieuw)</t>
  </si>
  <si>
    <t xml:space="preserve">Hobby-abonnement (gratis) — max. aantal services (web services + databanken + ...) totaal</t>
  </si>
  <si>
    <t xml:space="preserve">Bron: render.com/pricing, 11 sept. 2026. Zodra het totaal aantal services over AL je klanten samen deze grens overschrijdt, is de gratis Hobby-workspace niet langer genoeg.</t>
  </si>
  <si>
    <t xml:space="preserve">Pro-workspace (onbeperkt aantal services)</t>
  </si>
  <si>
    <t xml:space="preserve">Bron: render.com/pricing, 11 sept. 2026 — vlak tarief, ongeacht hoeveel services erboven komen.</t>
  </si>
  <si>
    <t xml:space="preserve">Services per klant (Web Service + PostgreSQL; +1 indien die klant ook Redis gebruikt)</t>
  </si>
  <si>
    <t xml:space="preserve">Aanpasbaar: basisscenario (geen Redis) = 2 services/klant. Gebruikt om te berekenen vanaf hoeveel klanten de gratis Hobby-grens (25 services) overschreden wordt — zie tabblad 'Scenario'.</t>
  </si>
  <si>
    <t xml:space="preserve">Uurivo — Kostprijs voor Ecofinity (per klant, per medewerker, per extra klant)</t>
  </si>
  <si>
    <t xml:space="preserve">Alle bedragen in EUR, omgerekend vanaf de USD-brontarieven op het tabblad 'Aannames'. Single-tenant opzet: elke klant krijgt een eigen, aparte Render-omgeving.</t>
  </si>
  <si>
    <t xml:space="preserve">A. Eenmalige opzetkosten per nieuwe klant</t>
  </si>
  <si>
    <t xml:space="preserve">Post</t>
  </si>
  <si>
    <t xml:space="preserve">Bedrag</t>
  </si>
  <si>
    <t xml:space="preserve">Arbeidstijd opzet (uren × uurtarief)</t>
  </si>
  <si>
    <t xml:space="preserve">Harde infrastructuurkost bij opzet (domein/registratie)</t>
  </si>
  <si>
    <t xml:space="preserve">TOTAAL eenmalige opzetkost per nieuwe klant</t>
  </si>
  <si>
    <t xml:space="preserve">B. Maandelijkse kost per klant (vaste infrastructuur, ongeacht aantal medewerkers)</t>
  </si>
  <si>
    <t xml:space="preserve">Bedrag/maand</t>
  </si>
  <si>
    <t xml:space="preserve">Van toepassing</t>
  </si>
  <si>
    <t xml:space="preserve">Render Web Service (API-server, eigen omgeving per klant)</t>
  </si>
  <si>
    <t xml:space="preserve">Elke klant</t>
  </si>
  <si>
    <t xml:space="preserve">Render PostgreSQL (databank, eigen omgeving per klant)</t>
  </si>
  <si>
    <t xml:space="preserve">Render Redis/Key Value (enkel bij hoog volume — optioneel)</t>
  </si>
  <si>
    <t xml:space="preserve">Enkel indien nodig</t>
  </si>
  <si>
    <t xml:space="preserve">Vercel Pro (gedeeld over alle klanten, per klant verrekend)</t>
  </si>
  <si>
    <t xml:space="preserve">Gedeeld</t>
  </si>
  <si>
    <t xml:space="preserve">→ zie tabblad 'Scenario' voor de verdeling over meerdere klanten</t>
  </si>
  <si>
    <t xml:space="preserve">Resend, OpenRouteService, domein (blijven in de praktijk gratis)</t>
  </si>
  <si>
    <t xml:space="preserve">TOTAAL per klant/maand — basisscenario (zonder Redis)</t>
  </si>
  <si>
    <t xml:space="preserve">TOTAAL per klant/maand — met Redis (hoog-volume-klant)</t>
  </si>
  <si>
    <t xml:space="preserve">C. Marginale kost per extra medewerker (binnen een bestaande klant)</t>
  </si>
  <si>
    <t xml:space="preserve">Extra Render-verbruik (opslag/rekenkracht) per medewerker</t>
  </si>
  <si>
    <t xml:space="preserve">Verwaarloosbaar zolang de klant op de Starter-tier blijft (zie hieronder voor de opschaal-drempel).</t>
  </si>
  <si>
    <t xml:space="preserve">TOTAAL per extra medewerker</t>
  </si>
  <si>
    <t xml:space="preserve">Let op — opschaal-drempel:</t>
  </si>
  <si>
    <t xml:space="preserve">Bij een klant met veel medewerkers/foto's/werkbonnen (indicatief &gt; 30-40 gebruikers) kan de Starter-tier ($7) te krap worden qua RAM/CPU. Opschalen naar Render Standard kost dan $25/maand i.p.v. $7 — dus +€</t>
  </si>
  <si>
    <t xml:space="preserve">D. Marginale kost per extra klant (nieuwe, volledig aparte omgeving)</t>
  </si>
  <si>
    <t xml:space="preserve">Maandelijks terugkerend (100% toewijsbaar aan deze ene klant: Render)</t>
  </si>
  <si>
    <t xml:space="preserve">Vercel/Resend/OpenRouteService blijven vlak ongeacht het aantal klanten — zie tabblad Scenario voor hoe de GEMIDDELDE kost per klant daardoor daalt naarmate je groeit.</t>
  </si>
  <si>
    <t xml:space="preserve">Uurivo — Scenario: aantal klanten (invoercel)</t>
  </si>
  <si>
    <t xml:space="preserve">Basisinvoer</t>
  </si>
  <si>
    <t xml:space="preserve">Aantal actieve klanten (voor de Vercel-verdeling op sheet 2)</t>
  </si>
  <si>
    <t xml:space="preserve">Scenario-overzicht: totale maandelijkse infrastructuurkost bij X klanten</t>
  </si>
  <si>
    <t xml:space="preserve">Aantal klanten</t>
  </si>
  <si>
    <t xml:space="preserve">Toelichting</t>
  </si>
  <si>
    <t xml:space="preserve">Render (Web Service + PostgreSQL) — per klant</t>
  </si>
  <si>
    <t xml:space="preserve">Vercel Pro (gedeeld, 1 seat volstaat tot een tiental klanten)</t>
  </si>
  <si>
    <t xml:space="preserve">Vaste kost, ongeacht aantal klanten (tot je effectief een 2e seat nodig hebt bij veel gelijktijdige ontwikkelaars).</t>
  </si>
  <si>
    <t xml:space="preserve">Resend / OpenRouteService / domein (gedeeld, blijft gratis)</t>
  </si>
  <si>
    <t xml:space="preserve">TOTAAL maandelijkse kost</t>
  </si>
  <si>
    <t xml:space="preserve">Gemiddelde kost per klant/maand</t>
  </si>
  <si>
    <t xml:space="preserve">Eénmalige opzetkost bij dit aantal klanten (arbeidstijd × aantal)</t>
  </si>
  <si>
    <t xml:space="preserve">Let op: dit toont enkel jouw infrastructuurkost (Ecofinity). Wat je zelf aan de klant aanrekent (jouw prijsplan/marge) staat los hiervan — zie het aparte document 'prijsplannen-klanten' voor de verkoopprijs.</t>
  </si>
  <si>
    <t xml:space="preserve">Aanvullend (nieuw): Render workspace-abonnement meegerekend</t>
  </si>
  <si>
    <t xml:space="preserve">De gratis Render Hobby-workspace volstaat tot 25 services totaal (Aannames!B26). Bij 2 services/klant (Aannames!B28, basisscenario zonder Redis) blijft dit dus gratis tot en met </t>
  </si>
  <si>
    <t xml:space="preserve">klanten (24 services); vanaf de volgende klant betaal je het vlakke $25/maand-tarief (Aannames!B27), ongeacht hoeveel erboven.</t>
  </si>
  <si>
    <t xml:space="preserve">Render workspace-abonnement (0 tot de grens hierboven, dan vlak tarief)</t>
  </si>
  <si>
    <t xml:space="preserve">$0 zolang (aantal klanten × services/klant) binnen de gratis Hobby-grens blijft.</t>
  </si>
  <si>
    <t xml:space="preserve">TOTAAL maandelijkse kost, incl. workspace-abonnement</t>
  </si>
  <si>
    <t xml:space="preserve">Gemiddelde kost per klant/maand, incl. workspace-abonnement</t>
  </si>
  <si>
    <t xml:space="preserve">Bij het gemodelleerde bereik (1-10 klanten, basisscenario zonder Redis) blijft het workspace-abonnement dus $0 — pas relevant bij verdere groei of bij klanten die wél Redis gebruiken (zie Aannames!B28).</t>
  </si>
  <si>
    <t xml:space="preserve">Uurivo — Prijszetting voor klanten</t>
  </si>
  <si>
    <t xml:space="preserve">Verkoopprijs + marge t.o.v. de kostprijs op de andere tabbladen — herzien 11 september 2026. Pas de blauwe cellen aan (doelmarge, verkoopprijzen, opstartfees); de rest herberekent automatisch.</t>
  </si>
  <si>
    <t xml:space="preserve">A. Doelmarge (richtlijn, optioneel)</t>
  </si>
  <si>
    <t xml:space="preserve">Waarde</t>
  </si>
  <si>
    <t xml:space="preserve">Gewenste marge-multiplier t.o.v. kostprijs (bv. 4 = vraag ca. 4× de kostprijs)</t>
  </si>
  <si>
    <t xml:space="preserve">Eigen richtlijn, geen harde marktregel — zie de eerdere analyse in het project ('commercieel-voorstel-swatt.md': marge ≈4× hostingkost als denkkader).</t>
  </si>
  <si>
    <t xml:space="preserve">Richtprijs per klant/maand — bij 1 klant (weinig schaalvoordeel)</t>
  </si>
  <si>
    <t xml:space="preserve">Richtprijs per klant/maand — bij 5 klanten</t>
  </si>
  <si>
    <t xml:space="preserve">Richtprijs per klant/maand — bij 10 klanten</t>
  </si>
  <si>
    <t xml:space="preserve">B. Voorgestelde abonnementen — pas de verkoopprijzen (blauw) aan naar wens</t>
  </si>
  <si>
    <t xml:space="preserve">Plan</t>
  </si>
  <si>
    <t xml:space="preserve">Basisprijs/mnd (t.e.m. 5 medewerkers)</t>
  </si>
  <si>
    <t xml:space="preserve">Per extra medewerker/mnd</t>
  </si>
  <si>
    <t xml:space="preserve">Eenmalige opstartfee</t>
  </si>
  <si>
    <t xml:space="preserve">Basic — Tijdregistratie &amp; werkbon</t>
  </si>
  <si>
    <t xml:space="preserve">Kernflow: timer/werkbon/foto's/handtekening/PDF + urensync Teamleader. Geen facturatiemodule.</t>
  </si>
  <si>
    <t xml:space="preserve">Pro — Facturatie &amp; toeslagen</t>
  </si>
  <si>
    <t xml:space="preserve">+ facturatie-overzicht/conceptfactuur Teamleader, toeslagen (overuren/ploegen/nacht), km-vergoeding.</t>
  </si>
  <si>
    <t xml:space="preserve">Business — Payroll &amp; multi-site</t>
  </si>
  <si>
    <t xml:space="preserve">+ maandelijks loonoverzicht, wekelijkse klant-ondertekeningsmodus, prioritaire support.</t>
  </si>
  <si>
    <t xml:space="preserve">Startpunt = eerder voorstel (30/8/2026, project-document 'prijsplannen-klanten') — nog niet bevestigd door de klant, vrij aan te passen aan dit gesprek.</t>
  </si>
  <si>
    <t xml:space="preserve">C. Marge-overzicht — maandelijks abonnement</t>
  </si>
  <si>
    <t xml:space="preserve">Verkoopprijs/mnd</t>
  </si>
  <si>
    <t xml:space="preserve">Kostprijs/mnd @1 klant</t>
  </si>
  <si>
    <t xml:space="preserve">Marge €/mnd @1 klant</t>
  </si>
  <si>
    <t xml:space="preserve">Marge % @1 klant</t>
  </si>
  <si>
    <t xml:space="preserve">Kostprijs/mnd @10 klanten</t>
  </si>
  <si>
    <t xml:space="preserve">Marge €/mnd @10 klanten</t>
  </si>
  <si>
    <t xml:space="preserve">Marge % @10 klanten</t>
  </si>
  <si>
    <t xml:space="preserve">Basic</t>
  </si>
  <si>
    <t xml:space="preserve">Pro</t>
  </si>
  <si>
    <t xml:space="preserve">Business</t>
  </si>
  <si>
    <t xml:space="preserve">Kostprijs = gemiddelde infrastructuurkost per klant/maand op tabblad 'Scenario' (incl. het gedeelde Vercel-abonnement, verdeeld over het aantal klanten). Marge houdt geen rekening met support-/onderhoudstijd — zie de openstaande punt daarover in 'prijsplannen-klanten'.</t>
  </si>
  <si>
    <t xml:space="preserve">D. Marge-overzicht — eenmalige opstartfee</t>
  </si>
  <si>
    <t xml:space="preserve">Voorgestelde opstartfee</t>
  </si>
  <si>
    <t xml:space="preserve">Interne opzetkost (Ecofinity)</t>
  </si>
  <si>
    <t xml:space="preserve">Marge €</t>
  </si>
  <si>
    <t xml:space="preserve">Marge %</t>
  </si>
  <si>
    <t xml:space="preserve">Let op: dit is een hulptabel op basis van de infrastructuur-/opzetkost. Het uiteindelijke prijsgesprek met de klant hangt ook af van waarde, marktpositie en concurrenten — zie 'commercieel-voorstel-swatt.md' en 'prijsplannen-klanten' in het project. Geen financieel of fiscaal advies.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</si>
</sst>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€ &quot;#,##0.00;&quot;(€ &quot;#,##0.00\);\-"/>
    <numFmt numFmtId="166" formatCode="&quot;€ &quot;#,##0.00"/>
    <numFmt numFmtId="167" formatCode="0.00"/>
    <numFmt numFmtId="168" formatCode="\$#,##0.00;&quot;($&quot;#,##0.00\);\-"/>
    <numFmt numFmtId="169" formatCode="0"/>
    <numFmt numFmtId="170" formatCode="0.0\x"/>
    <numFmt numFmtId="171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i val="true"/>
      <sz val="9"/>
      <color rgb="FFD1D5DB"/>
      <name val="Arial"/>
      <family val="0"/>
      <charset val="1"/>
    </font>
    <font>
      <i val="true"/>
      <sz val="9"/>
      <color rgb="FFE5E7EB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374151"/>
        <bgColor rgb="FF4B5563"/>
      </patternFill>
    </fill>
    <fill>
      <patternFill patternType="solid">
        <fgColor rgb="FF4B5563"/>
        <bgColor rgb="FF666666"/>
      </patternFill>
    </fill>
    <fill>
      <patternFill patternType="solid">
        <fgColor rgb="FFF0B90B"/>
        <bgColor rgb="FFFF9900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FFD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B90B"/>
      <rgbColor rgb="FFFF9900"/>
      <rgbColor rgb="FFFF6600"/>
      <rgbColor rgb="FF666666"/>
      <rgbColor rgb="FF9CA3AF"/>
      <rgbColor rgb="FF003366"/>
      <rgbColor rgb="FF339966"/>
      <rgbColor rgb="FF003300"/>
      <rgbColor rgb="FF4B5563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30"/>
    <col collapsed="false" customWidth="true" hidden="false" outlineLevel="0" max="5" min="5" style="1" width="4"/>
  </cols>
  <sheetData>
    <row r="1" customFormat="false" ht="7.5" hidden="false" customHeight="true" outlineLevel="0" collapsed="false"/>
    <row r="2" customFormat="false" ht="19.5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6" customFormat="false" ht="15" hidden="false" customHeight="true" outlineLevel="0" collapsed="false">
      <c r="B6" s="4" t="s">
        <v>2</v>
      </c>
      <c r="C6" s="5" t="s">
        <v>3</v>
      </c>
      <c r="D6" s="6" t="s">
        <v>4</v>
      </c>
    </row>
    <row r="7" customFormat="false" ht="15" hidden="false" customHeight="true" outlineLevel="0" collapsed="false">
      <c r="B7" s="4"/>
      <c r="C7" s="4"/>
      <c r="D7" s="4"/>
    </row>
    <row r="8" customFormat="false" ht="15" hidden="false" customHeight="true" outlineLevel="0" collapsed="false">
      <c r="B8" s="7" t="n">
        <f aca="false">'Kostprijs per klant'!B8</f>
        <v>260</v>
      </c>
      <c r="C8" s="8" t="n">
        <f aca="false">'Kostprijs per klant'!B17</f>
        <v>28.38</v>
      </c>
      <c r="D8" s="9" t="n">
        <f aca="false">'Kostprijs per klant'!B22</f>
        <v>0</v>
      </c>
    </row>
    <row r="9" customFormat="false" ht="15" hidden="false" customHeight="true" outlineLevel="0" collapsed="false">
      <c r="B9" s="7"/>
      <c r="C9" s="7"/>
      <c r="D9" s="7"/>
    </row>
    <row r="10" customFormat="false" ht="15" hidden="false" customHeight="true" outlineLevel="0" collapsed="false">
      <c r="B10" s="10" t="s">
        <v>5</v>
      </c>
      <c r="C10" s="11" t="s">
        <v>6</v>
      </c>
      <c r="D10" s="12" t="s">
        <v>7</v>
      </c>
    </row>
    <row r="12" customFormat="false" ht="15" hidden="false" customHeight="true" outlineLevel="0" collapsed="false">
      <c r="B12" s="13" t="s">
        <v>8</v>
      </c>
      <c r="C12" s="13"/>
      <c r="D12" s="13"/>
    </row>
    <row r="13" customFormat="false" ht="15" hidden="false" customHeight="true" outlineLevel="0" collapsed="false">
      <c r="B13" s="14" t="s">
        <v>9</v>
      </c>
      <c r="C13" s="15" t="n">
        <f aca="false">'Kostprijs per klant'!B27</f>
        <v>260</v>
      </c>
    </row>
    <row r="14" customFormat="false" ht="15" hidden="false" customHeight="true" outlineLevel="0" collapsed="false">
      <c r="B14" s="14" t="s">
        <v>10</v>
      </c>
      <c r="C14" s="15" t="n">
        <f aca="false">'Kostprijs per klant'!B28</f>
        <v>11.18</v>
      </c>
    </row>
    <row r="16" customFormat="false" ht="15" hidden="false" customHeight="true" outlineLevel="0" collapsed="false">
      <c r="B16" s="13" t="s">
        <v>11</v>
      </c>
      <c r="C16" s="13"/>
      <c r="D16" s="13"/>
    </row>
    <row r="17" customFormat="false" ht="60" hidden="false" customHeight="true" outlineLevel="0" collapsed="false">
      <c r="B17" s="16" t="s">
        <v>12</v>
      </c>
      <c r="C17" s="16"/>
      <c r="D17" s="16"/>
    </row>
    <row r="18" customFormat="false" ht="60" hidden="false" customHeight="true" outlineLevel="0" collapsed="false">
      <c r="B18" s="16" t="s">
        <v>13</v>
      </c>
      <c r="C18" s="16"/>
      <c r="D18" s="16"/>
    </row>
    <row r="19" customFormat="false" ht="60" hidden="false" customHeight="true" outlineLevel="0" collapsed="false">
      <c r="B19" s="16" t="s">
        <v>14</v>
      </c>
      <c r="C19" s="16"/>
      <c r="D19" s="16"/>
    </row>
    <row r="20" customFormat="false" ht="60" hidden="false" customHeight="true" outlineLevel="0" collapsed="false">
      <c r="B20" s="16" t="s">
        <v>15</v>
      </c>
      <c r="C20" s="16"/>
      <c r="D20" s="16"/>
    </row>
    <row r="21" customFormat="false" ht="165.75" hidden="false" customHeight="true" outlineLevel="0" collapsed="false">
      <c r="B21" s="17" t="s">
        <v>16</v>
      </c>
    </row>
    <row r="22" customFormat="false" ht="15" hidden="false" customHeight="true" outlineLevel="0" collapsed="false">
      <c r="B22" s="18"/>
      <c r="C22" s="18"/>
      <c r="D22" s="18"/>
    </row>
    <row r="23" customFormat="false" ht="15" hidden="false" customHeight="true" outlineLevel="0" collapsed="false">
      <c r="B23" s="19" t="s">
        <v>17</v>
      </c>
    </row>
  </sheetData>
  <mergeCells count="15">
    <mergeCell ref="B2:D2"/>
    <mergeCell ref="B3:D3"/>
    <mergeCell ref="B6:B7"/>
    <mergeCell ref="C6:C7"/>
    <mergeCell ref="D6:D7"/>
    <mergeCell ref="B8:B9"/>
    <mergeCell ref="C8:C9"/>
    <mergeCell ref="D8:D9"/>
    <mergeCell ref="B12:D12"/>
    <mergeCell ref="B16:D16"/>
    <mergeCell ref="B17:D17"/>
    <mergeCell ref="B18:D18"/>
    <mergeCell ref="B19:D19"/>
    <mergeCell ref="B20:D20"/>
    <mergeCell ref="B22:D2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7" min="6" style="1" width="4"/>
  </cols>
  <sheetData>
    <row r="1" customFormat="false" ht="17.25" hidden="false" customHeight="true" outlineLevel="0" collapsed="false">
      <c r="A1" s="20" t="s">
        <v>18</v>
      </c>
    </row>
    <row r="2" customFormat="false" ht="15" hidden="false" customHeight="true" outlineLevel="0" collapsed="false">
      <c r="A2" s="3" t="s">
        <v>19</v>
      </c>
      <c r="B2" s="3"/>
      <c r="C2" s="3"/>
      <c r="D2" s="3"/>
      <c r="E2" s="3"/>
    </row>
    <row r="4" customFormat="false" ht="15" hidden="false" customHeight="true" outlineLevel="0" collapsed="false">
      <c r="A4" s="13" t="s">
        <v>20</v>
      </c>
      <c r="B4" s="13"/>
      <c r="C4" s="13"/>
      <c r="D4" s="13"/>
      <c r="E4" s="13"/>
    </row>
    <row r="5" customFormat="false" ht="15" hidden="false" customHeight="true" outlineLevel="0" collapsed="false">
      <c r="A5" s="1" t="s">
        <v>21</v>
      </c>
      <c r="B5" s="21" t="n">
        <v>0.86</v>
      </c>
      <c r="E5" s="22" t="s">
        <v>22</v>
      </c>
    </row>
    <row r="7" customFormat="false" ht="15" hidden="false" customHeight="true" outlineLevel="0" collapsed="false">
      <c r="A7" s="13" t="s">
        <v>23</v>
      </c>
      <c r="B7" s="13"/>
      <c r="C7" s="13"/>
      <c r="D7" s="13"/>
      <c r="E7" s="13"/>
    </row>
    <row r="8" customFormat="false" ht="15" hidden="false" customHeight="true" outlineLevel="0" collapsed="false">
      <c r="A8" s="1" t="s">
        <v>24</v>
      </c>
      <c r="B8" s="23" t="n">
        <v>7</v>
      </c>
      <c r="E8" s="22" t="s">
        <v>25</v>
      </c>
    </row>
    <row r="9" customFormat="false" ht="15" hidden="false" customHeight="true" outlineLevel="0" collapsed="false">
      <c r="A9" s="1" t="s">
        <v>26</v>
      </c>
      <c r="B9" s="23" t="n">
        <v>6</v>
      </c>
      <c r="E9" s="22" t="s">
        <v>27</v>
      </c>
    </row>
    <row r="10" customFormat="false" ht="15" hidden="false" customHeight="true" outlineLevel="0" collapsed="false">
      <c r="A10" s="1" t="s">
        <v>28</v>
      </c>
      <c r="B10" s="23" t="n">
        <v>10</v>
      </c>
      <c r="E10" s="22" t="s">
        <v>29</v>
      </c>
    </row>
    <row r="12" customFormat="false" ht="15" hidden="false" customHeight="true" outlineLevel="0" collapsed="false">
      <c r="A12" s="13" t="s">
        <v>30</v>
      </c>
      <c r="B12" s="13"/>
      <c r="C12" s="13"/>
      <c r="D12" s="13"/>
      <c r="E12" s="13"/>
    </row>
    <row r="13" customFormat="false" ht="15" hidden="false" customHeight="true" outlineLevel="0" collapsed="false">
      <c r="A13" s="1" t="s">
        <v>31</v>
      </c>
      <c r="B13" s="23" t="n">
        <v>20</v>
      </c>
      <c r="E13" s="22" t="s">
        <v>32</v>
      </c>
    </row>
    <row r="14" customFormat="false" ht="15" hidden="false" customHeight="true" outlineLevel="0" collapsed="false">
      <c r="A14" s="1" t="s">
        <v>33</v>
      </c>
      <c r="B14" s="24" t="n">
        <v>1</v>
      </c>
    </row>
    <row r="16" customFormat="false" ht="15" hidden="false" customHeight="true" outlineLevel="0" collapsed="false">
      <c r="A16" s="13" t="s">
        <v>34</v>
      </c>
      <c r="B16" s="13"/>
      <c r="C16" s="13"/>
      <c r="D16" s="13"/>
      <c r="E16" s="13"/>
    </row>
    <row r="17" customFormat="false" ht="15" hidden="false" customHeight="true" outlineLevel="0" collapsed="false">
      <c r="A17" s="1" t="s">
        <v>35</v>
      </c>
      <c r="B17" s="23" t="n">
        <v>0</v>
      </c>
      <c r="E17" s="22" t="s">
        <v>36</v>
      </c>
    </row>
    <row r="18" customFormat="false" ht="15" hidden="false" customHeight="true" outlineLevel="0" collapsed="false">
      <c r="A18" s="1" t="s">
        <v>37</v>
      </c>
      <c r="B18" s="23" t="n">
        <v>0</v>
      </c>
      <c r="E18" s="22" t="s">
        <v>38</v>
      </c>
    </row>
    <row r="19" customFormat="false" ht="15" hidden="false" customHeight="true" outlineLevel="0" collapsed="false">
      <c r="A19" s="1" t="s">
        <v>39</v>
      </c>
      <c r="B19" s="23" t="n">
        <v>0</v>
      </c>
      <c r="E19" s="22" t="s">
        <v>40</v>
      </c>
    </row>
    <row r="21" customFormat="false" ht="15" hidden="false" customHeight="true" outlineLevel="0" collapsed="false">
      <c r="A21" s="13" t="s">
        <v>41</v>
      </c>
      <c r="B21" s="13"/>
      <c r="C21" s="13"/>
      <c r="D21" s="13"/>
      <c r="E21" s="13"/>
    </row>
    <row r="22" customFormat="false" ht="15" hidden="false" customHeight="true" outlineLevel="0" collapsed="false">
      <c r="A22" s="1" t="s">
        <v>42</v>
      </c>
      <c r="B22" s="24" t="n">
        <v>4</v>
      </c>
      <c r="E22" s="22" t="s">
        <v>43</v>
      </c>
    </row>
    <row r="23" customFormat="false" ht="15" hidden="false" customHeight="true" outlineLevel="0" collapsed="false">
      <c r="A23" s="1" t="s">
        <v>44</v>
      </c>
      <c r="B23" s="25" t="n">
        <v>65</v>
      </c>
      <c r="E23" s="22" t="s">
        <v>45</v>
      </c>
    </row>
    <row r="25" customFormat="false" ht="15" hidden="false" customHeight="true" outlineLevel="0" collapsed="false">
      <c r="A25" s="26" t="s">
        <v>46</v>
      </c>
    </row>
    <row r="26" customFormat="false" ht="15" hidden="false" customHeight="true" outlineLevel="0" collapsed="false">
      <c r="A26" s="1" t="s">
        <v>47</v>
      </c>
      <c r="B26" s="27" t="n">
        <v>25</v>
      </c>
      <c r="E26" s="22" t="s">
        <v>48</v>
      </c>
    </row>
    <row r="27" customFormat="false" ht="15" hidden="false" customHeight="true" outlineLevel="0" collapsed="false">
      <c r="A27" s="1" t="s">
        <v>49</v>
      </c>
      <c r="B27" s="28" t="n">
        <v>25</v>
      </c>
      <c r="E27" s="22" t="s">
        <v>50</v>
      </c>
    </row>
    <row r="28" customFormat="false" ht="15" hidden="false" customHeight="true" outlineLevel="0" collapsed="false">
      <c r="A28" s="1" t="s">
        <v>51</v>
      </c>
      <c r="B28" s="27" t="n">
        <v>2</v>
      </c>
      <c r="E28" s="22" t="s">
        <v>52</v>
      </c>
    </row>
  </sheetData>
  <mergeCells count="6">
    <mergeCell ref="A2:E2"/>
    <mergeCell ref="A4:E4"/>
    <mergeCell ref="A7:E7"/>
    <mergeCell ref="A12:E12"/>
    <mergeCell ref="A16:E16"/>
    <mergeCell ref="A21:E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3" min="2" style="1" width="16"/>
    <col collapsed="false" customWidth="true" hidden="false" outlineLevel="0" max="4" min="4" style="1" width="4"/>
    <col collapsed="false" customWidth="true" hidden="false" outlineLevel="0" max="8" min="5" style="1" width="20"/>
  </cols>
  <sheetData>
    <row r="1" customFormat="false" ht="17.25" hidden="false" customHeight="true" outlineLevel="0" collapsed="false">
      <c r="A1" s="29" t="s">
        <v>53</v>
      </c>
      <c r="B1" s="29"/>
      <c r="C1" s="29"/>
    </row>
    <row r="2" customFormat="false" ht="15" hidden="false" customHeight="true" outlineLevel="0" collapsed="false">
      <c r="A2" s="3" t="s">
        <v>54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3" t="s">
        <v>55</v>
      </c>
      <c r="B4" s="13"/>
      <c r="C4" s="13"/>
    </row>
    <row r="5" customFormat="false" ht="15" hidden="false" customHeight="true" outlineLevel="0" collapsed="false">
      <c r="A5" s="30" t="s">
        <v>56</v>
      </c>
      <c r="B5" s="30" t="s">
        <v>57</v>
      </c>
    </row>
    <row r="6" customFormat="false" ht="15" hidden="false" customHeight="true" outlineLevel="0" collapsed="false">
      <c r="A6" s="31" t="s">
        <v>58</v>
      </c>
      <c r="B6" s="32" t="n">
        <f aca="false">Aannames!$B$22*Aannames!$B$23</f>
        <v>260</v>
      </c>
    </row>
    <row r="7" customFormat="false" ht="15" hidden="false" customHeight="true" outlineLevel="0" collapsed="false">
      <c r="A7" s="31" t="s">
        <v>59</v>
      </c>
      <c r="B7" s="32" t="n">
        <f aca="false">Aannames!$B$19*Aannames!$B$5</f>
        <v>0</v>
      </c>
    </row>
    <row r="8" customFormat="false" ht="15" hidden="false" customHeight="true" outlineLevel="0" collapsed="false">
      <c r="A8" s="33" t="s">
        <v>60</v>
      </c>
      <c r="B8" s="34" t="n">
        <f aca="false">SUM(B6:B7)</f>
        <v>260</v>
      </c>
    </row>
    <row r="10" customFormat="false" ht="15" hidden="false" customHeight="true" outlineLevel="0" collapsed="false">
      <c r="A10" s="13" t="s">
        <v>61</v>
      </c>
      <c r="B10" s="13"/>
      <c r="C10" s="13"/>
    </row>
    <row r="11" customFormat="false" ht="15" hidden="false" customHeight="true" outlineLevel="0" collapsed="false">
      <c r="A11" s="30" t="s">
        <v>56</v>
      </c>
      <c r="B11" s="30" t="s">
        <v>62</v>
      </c>
      <c r="C11" s="30" t="s">
        <v>63</v>
      </c>
    </row>
    <row r="12" customFormat="false" ht="15" hidden="false" customHeight="true" outlineLevel="0" collapsed="false">
      <c r="A12" s="31" t="s">
        <v>64</v>
      </c>
      <c r="B12" s="32" t="n">
        <f aca="false">Aannames!$B$8*Aannames!$B$5</f>
        <v>6.02</v>
      </c>
      <c r="C12" s="31" t="s">
        <v>65</v>
      </c>
    </row>
    <row r="13" customFormat="false" ht="15" hidden="false" customHeight="true" outlineLevel="0" collapsed="false">
      <c r="A13" s="31" t="s">
        <v>66</v>
      </c>
      <c r="B13" s="32" t="n">
        <f aca="false">Aannames!$B$9*Aannames!$B$5</f>
        <v>5.16</v>
      </c>
      <c r="C13" s="31" t="s">
        <v>65</v>
      </c>
    </row>
    <row r="14" customFormat="false" ht="15" hidden="false" customHeight="true" outlineLevel="0" collapsed="false">
      <c r="A14" s="31" t="s">
        <v>67</v>
      </c>
      <c r="B14" s="32" t="n">
        <f aca="false">Aannames!$B$10*Aannames!$B$5</f>
        <v>8.6</v>
      </c>
      <c r="C14" s="31" t="s">
        <v>68</v>
      </c>
    </row>
    <row r="15" customFormat="false" ht="15" hidden="false" customHeight="true" outlineLevel="0" collapsed="false">
      <c r="A15" s="31" t="s">
        <v>69</v>
      </c>
      <c r="B15" s="32" t="n">
        <f aca="false">(Aannames!$B$13*Aannames!$B$14*Aannames!$B$5)/MAX(1,Scenario!$B$4)</f>
        <v>17.2</v>
      </c>
      <c r="C15" s="31" t="s">
        <v>70</v>
      </c>
      <c r="D15" s="22" t="s">
        <v>71</v>
      </c>
    </row>
    <row r="16" customFormat="false" ht="15" hidden="false" customHeight="true" outlineLevel="0" collapsed="false">
      <c r="A16" s="31" t="s">
        <v>72</v>
      </c>
      <c r="B16" s="32" t="n">
        <f aca="false">(Aannames!$B$17+Aannames!$B$18)*Aannames!$B$5</f>
        <v>0</v>
      </c>
      <c r="C16" s="31" t="s">
        <v>70</v>
      </c>
    </row>
    <row r="17" customFormat="false" ht="15" hidden="false" customHeight="true" outlineLevel="0" collapsed="false">
      <c r="A17" s="33" t="s">
        <v>73</v>
      </c>
      <c r="B17" s="34" t="n">
        <f aca="false">B12+B13+B15+B16</f>
        <v>28.38</v>
      </c>
    </row>
    <row r="18" customFormat="false" ht="15" hidden="false" customHeight="true" outlineLevel="0" collapsed="false">
      <c r="A18" s="33" t="s">
        <v>74</v>
      </c>
      <c r="B18" s="34" t="n">
        <f aca="false">B17+B14</f>
        <v>36.98</v>
      </c>
    </row>
    <row r="20" customFormat="false" ht="15" hidden="false" customHeight="true" outlineLevel="0" collapsed="false">
      <c r="A20" s="13" t="s">
        <v>75</v>
      </c>
      <c r="B20" s="13"/>
      <c r="C20" s="13"/>
    </row>
    <row r="21" customFormat="false" ht="15" hidden="false" customHeight="true" outlineLevel="0" collapsed="false">
      <c r="A21" s="31" t="s">
        <v>76</v>
      </c>
      <c r="B21" s="35" t="n">
        <v>0</v>
      </c>
      <c r="D21" s="22" t="s">
        <v>77</v>
      </c>
    </row>
    <row r="22" customFormat="false" ht="15" hidden="false" customHeight="true" outlineLevel="0" collapsed="false">
      <c r="A22" s="33" t="s">
        <v>78</v>
      </c>
      <c r="B22" s="36" t="n">
        <f aca="false">B21</f>
        <v>0</v>
      </c>
    </row>
    <row r="23" customFormat="false" ht="15" hidden="false" customHeight="true" outlineLevel="0" collapsed="false">
      <c r="A23" s="37" t="s">
        <v>79</v>
      </c>
    </row>
    <row r="24" customFormat="false" ht="15" hidden="false" customHeight="true" outlineLevel="0" collapsed="false">
      <c r="A24" s="22" t="s">
        <v>80</v>
      </c>
      <c r="B24" s="38" t="n">
        <f aca="false">(25-7)*Aannames!$B$5</f>
        <v>15.48</v>
      </c>
    </row>
    <row r="26" customFormat="false" ht="15" hidden="false" customHeight="true" outlineLevel="0" collapsed="false">
      <c r="A26" s="13" t="s">
        <v>81</v>
      </c>
      <c r="B26" s="13"/>
      <c r="C26" s="13"/>
    </row>
    <row r="27" customFormat="false" ht="15" hidden="false" customHeight="true" outlineLevel="0" collapsed="false">
      <c r="A27" s="31" t="s">
        <v>9</v>
      </c>
      <c r="B27" s="32" t="n">
        <f aca="false">B8</f>
        <v>260</v>
      </c>
    </row>
    <row r="28" customFormat="false" ht="15" hidden="false" customHeight="true" outlineLevel="0" collapsed="false">
      <c r="A28" s="31" t="s">
        <v>82</v>
      </c>
      <c r="B28" s="32" t="n">
        <f aca="false">B12+B13</f>
        <v>11.18</v>
      </c>
      <c r="D28" s="22" t="s">
        <v>83</v>
      </c>
    </row>
  </sheetData>
  <mergeCells count="6">
    <mergeCell ref="A1:C1"/>
    <mergeCell ref="A2:H2"/>
    <mergeCell ref="A4:C4"/>
    <mergeCell ref="A10:C10"/>
    <mergeCell ref="A20:C20"/>
    <mergeCell ref="A26:C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9" t="s">
        <v>84</v>
      </c>
      <c r="B1" s="29"/>
    </row>
    <row r="3" customFormat="false" ht="15" hidden="false" customHeight="true" outlineLevel="0" collapsed="false">
      <c r="A3" s="13" t="s">
        <v>85</v>
      </c>
      <c r="B3" s="13"/>
    </row>
    <row r="4" customFormat="false" ht="15" hidden="false" customHeight="true" outlineLevel="0" collapsed="false">
      <c r="A4" s="1" t="s">
        <v>86</v>
      </c>
      <c r="B4" s="27" t="n">
        <v>1</v>
      </c>
    </row>
    <row r="6" customFormat="false" ht="15" hidden="false" customHeight="true" outlineLevel="0" collapsed="false">
      <c r="A6" s="13" t="s">
        <v>87</v>
      </c>
      <c r="B6" s="13"/>
      <c r="C6" s="13"/>
      <c r="D6" s="13"/>
      <c r="E6" s="13"/>
      <c r="F6" s="13"/>
      <c r="G6" s="13"/>
    </row>
    <row r="8" customFormat="false" ht="15" hidden="false" customHeight="true" outlineLevel="0" collapsed="false">
      <c r="A8" s="30" t="s">
        <v>88</v>
      </c>
      <c r="B8" s="30" t="n">
        <v>1</v>
      </c>
      <c r="C8" s="30" t="n">
        <v>2</v>
      </c>
      <c r="D8" s="30" t="n">
        <v>3</v>
      </c>
      <c r="E8" s="30" t="n">
        <v>5</v>
      </c>
      <c r="F8" s="30" t="n">
        <v>10</v>
      </c>
      <c r="G8" s="30" t="s">
        <v>89</v>
      </c>
    </row>
    <row r="9" customFormat="false" ht="15" hidden="false" customHeight="true" outlineLevel="0" collapsed="false">
      <c r="A9" s="31" t="s">
        <v>90</v>
      </c>
      <c r="B9" s="32" t="n">
        <f aca="false">('Kostprijs per klant'!$B$12+'Kostprijs per klant'!$B$13)*B8</f>
        <v>11.18</v>
      </c>
      <c r="C9" s="32" t="n">
        <f aca="false">('Kostprijs per klant'!$B$12+'Kostprijs per klant'!$B$13)*C8</f>
        <v>22.36</v>
      </c>
      <c r="D9" s="32" t="n">
        <f aca="false">('Kostprijs per klant'!$B$12+'Kostprijs per klant'!$B$13)*D8</f>
        <v>33.54</v>
      </c>
      <c r="E9" s="32" t="n">
        <f aca="false">('Kostprijs per klant'!$B$12+'Kostprijs per klant'!$B$13)*E8</f>
        <v>55.9</v>
      </c>
      <c r="F9" s="32" t="n">
        <f aca="false">('Kostprijs per klant'!$B$12+'Kostprijs per klant'!$B$13)*F8</f>
        <v>111.8</v>
      </c>
    </row>
    <row r="10" customFormat="false" ht="15" hidden="false" customHeight="true" outlineLevel="0" collapsed="false">
      <c r="A10" s="31" t="s">
        <v>91</v>
      </c>
      <c r="B10" s="32" t="n">
        <f aca="false">Aannames!$B$13*Aannames!$B$14*Aannames!$B$5</f>
        <v>17.2</v>
      </c>
      <c r="C10" s="32" t="n">
        <f aca="false">Aannames!$B$13*Aannames!$B$14*Aannames!$B$5</f>
        <v>17.2</v>
      </c>
      <c r="D10" s="32" t="n">
        <f aca="false">Aannames!$B$13*Aannames!$B$14*Aannames!$B$5</f>
        <v>17.2</v>
      </c>
      <c r="E10" s="32" t="n">
        <f aca="false">Aannames!$B$13*Aannames!$B$14*Aannames!$B$5</f>
        <v>17.2</v>
      </c>
      <c r="F10" s="32" t="n">
        <f aca="false">Aannames!$B$13*Aannames!$B$14*Aannames!$B$5</f>
        <v>17.2</v>
      </c>
      <c r="G10" s="22" t="s">
        <v>92</v>
      </c>
    </row>
    <row r="11" customFormat="false" ht="15" hidden="false" customHeight="true" outlineLevel="0" collapsed="false">
      <c r="A11" s="31" t="s">
        <v>93</v>
      </c>
      <c r="B11" s="32" t="n">
        <f aca="false">'Kostprijs per klant'!$B$16</f>
        <v>0</v>
      </c>
      <c r="C11" s="32" t="n">
        <f aca="false">'Kostprijs per klant'!$B$16</f>
        <v>0</v>
      </c>
      <c r="D11" s="32" t="n">
        <f aca="false">'Kostprijs per klant'!$B$16</f>
        <v>0</v>
      </c>
      <c r="E11" s="32" t="n">
        <f aca="false">'Kostprijs per klant'!$B$16</f>
        <v>0</v>
      </c>
      <c r="F11" s="32" t="n">
        <f aca="false">'Kostprijs per klant'!$B$16</f>
        <v>0</v>
      </c>
    </row>
    <row r="12" customFormat="false" ht="15" hidden="false" customHeight="true" outlineLevel="0" collapsed="false">
      <c r="A12" s="30" t="s">
        <v>94</v>
      </c>
      <c r="B12" s="39" t="n">
        <f aca="false">SUM(B9:B11)</f>
        <v>28.38</v>
      </c>
      <c r="C12" s="39" t="n">
        <f aca="false">SUM(C9:C11)</f>
        <v>39.56</v>
      </c>
      <c r="D12" s="39" t="n">
        <f aca="false">SUM(D9:D11)</f>
        <v>50.74</v>
      </c>
      <c r="E12" s="39" t="n">
        <f aca="false">SUM(E9:E11)</f>
        <v>73.1</v>
      </c>
      <c r="F12" s="39" t="n">
        <f aca="false">SUM(F9:F11)</f>
        <v>129</v>
      </c>
    </row>
    <row r="13" customFormat="false" ht="15" hidden="false" customHeight="true" outlineLevel="0" collapsed="false">
      <c r="A13" s="33" t="s">
        <v>95</v>
      </c>
      <c r="B13" s="34" t="n">
        <f aca="false">B12/B8</f>
        <v>28.38</v>
      </c>
      <c r="C13" s="34" t="n">
        <f aca="false">C12/C8</f>
        <v>19.78</v>
      </c>
      <c r="D13" s="34" t="n">
        <f aca="false">D12/D8</f>
        <v>16.9133333333333</v>
      </c>
      <c r="E13" s="34" t="n">
        <f aca="false">E12/E8</f>
        <v>14.62</v>
      </c>
      <c r="F13" s="34" t="n">
        <f aca="false">F12/F8</f>
        <v>12.9</v>
      </c>
    </row>
    <row r="15" customFormat="false" ht="15" hidden="false" customHeight="true" outlineLevel="0" collapsed="false">
      <c r="A15" s="31" t="s">
        <v>96</v>
      </c>
      <c r="B15" s="32" t="n">
        <f aca="false">'Kostprijs per klant'!$B$8*B8</f>
        <v>260</v>
      </c>
      <c r="C15" s="32" t="n">
        <f aca="false">'Kostprijs per klant'!$B$8*C8</f>
        <v>520</v>
      </c>
      <c r="D15" s="32" t="n">
        <f aca="false">'Kostprijs per klant'!$B$8*D8</f>
        <v>780</v>
      </c>
      <c r="E15" s="32" t="n">
        <f aca="false">'Kostprijs per klant'!$B$8*E8</f>
        <v>1300</v>
      </c>
      <c r="F15" s="32" t="n">
        <f aca="false">'Kostprijs per klant'!$B$8*F8</f>
        <v>2600</v>
      </c>
    </row>
    <row r="17" customFormat="false" ht="15" hidden="false" customHeight="true" outlineLevel="0" collapsed="false">
      <c r="A17" s="40" t="s">
        <v>97</v>
      </c>
      <c r="B17" s="40"/>
      <c r="C17" s="40"/>
      <c r="D17" s="40"/>
      <c r="E17" s="40"/>
      <c r="F17" s="40"/>
      <c r="G17" s="40"/>
    </row>
    <row r="19" customFormat="false" ht="15" hidden="false" customHeight="true" outlineLevel="0" collapsed="false">
      <c r="A19" s="26" t="s">
        <v>98</v>
      </c>
      <c r="B19" s="41"/>
      <c r="C19" s="41"/>
      <c r="D19" s="41"/>
      <c r="E19" s="41"/>
      <c r="F19" s="41"/>
      <c r="G19" s="41"/>
    </row>
    <row r="20" customFormat="false" ht="79.5" hidden="false" customHeight="true" outlineLevel="0" collapsed="false">
      <c r="A20" s="42" t="s">
        <v>99</v>
      </c>
      <c r="B20" s="43" t="n">
        <f aca="false">FLOOR(Aannames!$B$26/Aannames!$B$28,1)</f>
        <v>12</v>
      </c>
      <c r="C20" s="42" t="s">
        <v>100</v>
      </c>
    </row>
    <row r="22" customFormat="false" ht="15" hidden="false" customHeight="true" outlineLevel="0" collapsed="false">
      <c r="A22" s="30" t="s">
        <v>88</v>
      </c>
      <c r="B22" s="44" t="n">
        <v>1</v>
      </c>
      <c r="C22" s="44" t="n">
        <v>2</v>
      </c>
      <c r="D22" s="44" t="n">
        <v>3</v>
      </c>
      <c r="E22" s="44" t="n">
        <v>5</v>
      </c>
      <c r="F22" s="44" t="n">
        <v>10</v>
      </c>
      <c r="G22" s="45" t="s">
        <v>89</v>
      </c>
    </row>
    <row r="23" customFormat="false" ht="15" hidden="false" customHeight="true" outlineLevel="0" collapsed="false">
      <c r="A23" s="31" t="s">
        <v>101</v>
      </c>
      <c r="B23" s="32" t="n">
        <f aca="false">IF(B8*Aannames!$B$28&gt;Aannames!$B$26,Aannames!$B$27*Aannames!$B$5,0)</f>
        <v>0</v>
      </c>
      <c r="C23" s="32" t="n">
        <f aca="false">IF(C8*Aannames!$B$28&gt;Aannames!$B$26,Aannames!$B$27*Aannames!$B$5,0)</f>
        <v>0</v>
      </c>
      <c r="D23" s="32" t="n">
        <f aca="false">IF(D8*Aannames!$B$28&gt;Aannames!$B$26,Aannames!$B$27*Aannames!$B$5,0)</f>
        <v>0</v>
      </c>
      <c r="E23" s="32" t="n">
        <f aca="false">IF(E8*Aannames!$B$28&gt;Aannames!$B$26,Aannames!$B$27*Aannames!$B$5,0)</f>
        <v>0</v>
      </c>
      <c r="F23" s="32" t="n">
        <f aca="false">IF(F8*Aannames!$B$28&gt;Aannames!$B$26,Aannames!$B$27*Aannames!$B$5,0)</f>
        <v>0</v>
      </c>
      <c r="G23" s="22" t="s">
        <v>102</v>
      </c>
    </row>
    <row r="24" customFormat="false" ht="15" hidden="false" customHeight="true" outlineLevel="0" collapsed="false">
      <c r="A24" s="46" t="s">
        <v>103</v>
      </c>
      <c r="B24" s="34" t="n">
        <f aca="false">B12+B23</f>
        <v>28.38</v>
      </c>
      <c r="C24" s="34" t="n">
        <f aca="false">C12+C23</f>
        <v>39.56</v>
      </c>
      <c r="D24" s="34" t="n">
        <f aca="false">D12+D23</f>
        <v>50.74</v>
      </c>
      <c r="E24" s="34" t="n">
        <f aca="false">E12+E23</f>
        <v>73.1</v>
      </c>
      <c r="F24" s="34" t="n">
        <f aca="false">F12+F23</f>
        <v>129</v>
      </c>
    </row>
    <row r="25" customFormat="false" ht="15" hidden="false" customHeight="true" outlineLevel="0" collapsed="false">
      <c r="A25" s="46" t="s">
        <v>104</v>
      </c>
      <c r="B25" s="34" t="n">
        <f aca="false">B24/B8</f>
        <v>28.38</v>
      </c>
      <c r="C25" s="34" t="n">
        <f aca="false">C24/C8</f>
        <v>19.78</v>
      </c>
      <c r="D25" s="34" t="n">
        <f aca="false">D24/D8</f>
        <v>16.9133333333333</v>
      </c>
      <c r="E25" s="34" t="n">
        <f aca="false">E24/E8</f>
        <v>14.62</v>
      </c>
      <c r="F25" s="34" t="n">
        <f aca="false">F24/F8</f>
        <v>12.9</v>
      </c>
    </row>
    <row r="27" customFormat="false" ht="53.25" hidden="false" customHeight="true" outlineLevel="0" collapsed="false">
      <c r="A27" s="42" t="s">
        <v>105</v>
      </c>
    </row>
  </sheetData>
  <mergeCells count="4">
    <mergeCell ref="A1:B1"/>
    <mergeCell ref="A3:B3"/>
    <mergeCell ref="A6:G6"/>
    <mergeCell ref="A17:G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7"/>
    <col collapsed="false" customWidth="true" hidden="false" outlineLevel="0" max="3" min="3" style="1" width="18"/>
    <col collapsed="false" customWidth="true" hidden="false" outlineLevel="0" max="4" min="4" style="1" width="17"/>
    <col collapsed="false" customWidth="true" hidden="false" outlineLevel="0" max="5" min="5" style="1" width="15"/>
    <col collapsed="false" customWidth="true" hidden="false" outlineLevel="0" max="6" min="6" style="1" width="19"/>
    <col collapsed="false" customWidth="true" hidden="false" outlineLevel="0" max="7" min="7" style="1" width="18"/>
    <col collapsed="false" customWidth="true" hidden="false" outlineLevel="0" max="8" min="8" style="1" width="15"/>
  </cols>
  <sheetData>
    <row r="1" customFormat="false" ht="17.25" hidden="false" customHeight="true" outlineLevel="0" collapsed="false">
      <c r="A1" s="20" t="s">
        <v>106</v>
      </c>
    </row>
    <row r="2" customFormat="false" ht="15" hidden="false" customHeight="true" outlineLevel="0" collapsed="false">
      <c r="A2" s="47" t="s">
        <v>107</v>
      </c>
    </row>
    <row r="4" customFormat="false" ht="15" hidden="false" customHeight="true" outlineLevel="0" collapsed="false">
      <c r="A4" s="26" t="s">
        <v>108</v>
      </c>
    </row>
    <row r="5" customFormat="false" ht="15" hidden="false" customHeight="true" outlineLevel="0" collapsed="false">
      <c r="A5" s="48" t="s">
        <v>56</v>
      </c>
      <c r="B5" s="49" t="s">
        <v>109</v>
      </c>
    </row>
    <row r="6" customFormat="false" ht="15" hidden="false" customHeight="true" outlineLevel="0" collapsed="false">
      <c r="A6" s="31" t="s">
        <v>110</v>
      </c>
      <c r="B6" s="50" t="n">
        <v>4</v>
      </c>
    </row>
    <row r="7" customFormat="false" ht="30" hidden="false" customHeight="true" outlineLevel="0" collapsed="false">
      <c r="A7" s="51" t="s">
        <v>111</v>
      </c>
    </row>
    <row r="8" customFormat="false" ht="15" hidden="false" customHeight="true" outlineLevel="0" collapsed="false">
      <c r="A8" s="31" t="s">
        <v>112</v>
      </c>
      <c r="B8" s="32" t="n">
        <f aca="false">B6*Scenario!B13</f>
        <v>113.52</v>
      </c>
    </row>
    <row r="9" customFormat="false" ht="15" hidden="false" customHeight="true" outlineLevel="0" collapsed="false">
      <c r="A9" s="31" t="s">
        <v>113</v>
      </c>
      <c r="B9" s="32" t="n">
        <f aca="false">B6*Scenario!E13</f>
        <v>58.48</v>
      </c>
    </row>
    <row r="10" customFormat="false" ht="15" hidden="false" customHeight="true" outlineLevel="0" collapsed="false">
      <c r="A10" s="31" t="s">
        <v>114</v>
      </c>
      <c r="B10" s="32" t="n">
        <f aca="false">B6*Scenario!F13</f>
        <v>51.6</v>
      </c>
    </row>
    <row r="12" customFormat="false" ht="15" hidden="false" customHeight="true" outlineLevel="0" collapsed="false">
      <c r="A12" s="26" t="s">
        <v>115</v>
      </c>
    </row>
    <row r="13" customFormat="false" ht="43.5" hidden="false" customHeight="true" outlineLevel="0" collapsed="false">
      <c r="A13" s="48" t="s">
        <v>116</v>
      </c>
      <c r="B13" s="49" t="s">
        <v>117</v>
      </c>
      <c r="C13" s="49" t="s">
        <v>118</v>
      </c>
      <c r="D13" s="49" t="s">
        <v>119</v>
      </c>
    </row>
    <row r="14" customFormat="false" ht="15" hidden="false" customHeight="true" outlineLevel="0" collapsed="false">
      <c r="A14" s="46" t="s">
        <v>120</v>
      </c>
      <c r="B14" s="52" t="n">
        <v>99</v>
      </c>
      <c r="C14" s="52" t="n">
        <v>15</v>
      </c>
      <c r="D14" s="52" t="n">
        <v>750</v>
      </c>
    </row>
    <row r="15" customFormat="false" ht="30" hidden="false" customHeight="true" outlineLevel="0" collapsed="false">
      <c r="A15" s="51" t="s">
        <v>121</v>
      </c>
    </row>
    <row r="16" customFormat="false" ht="15" hidden="false" customHeight="true" outlineLevel="0" collapsed="false">
      <c r="A16" s="46" t="s">
        <v>122</v>
      </c>
      <c r="B16" s="52" t="n">
        <v>179</v>
      </c>
      <c r="C16" s="52" t="n">
        <v>22</v>
      </c>
      <c r="D16" s="52" t="n">
        <v>1000</v>
      </c>
    </row>
    <row r="17" customFormat="false" ht="30" hidden="false" customHeight="true" outlineLevel="0" collapsed="false">
      <c r="A17" s="51" t="s">
        <v>123</v>
      </c>
    </row>
    <row r="18" customFormat="false" ht="15" hidden="false" customHeight="true" outlineLevel="0" collapsed="false">
      <c r="A18" s="46" t="s">
        <v>124</v>
      </c>
      <c r="B18" s="52" t="n">
        <v>279</v>
      </c>
      <c r="C18" s="52" t="n">
        <v>28</v>
      </c>
      <c r="D18" s="52" t="n">
        <v>1500</v>
      </c>
    </row>
    <row r="19" customFormat="false" ht="30" hidden="false" customHeight="true" outlineLevel="0" collapsed="false">
      <c r="A19" s="51" t="s">
        <v>125</v>
      </c>
    </row>
    <row r="20" customFormat="false" ht="30" hidden="false" customHeight="true" outlineLevel="0" collapsed="false">
      <c r="A20" s="51" t="s">
        <v>126</v>
      </c>
    </row>
    <row r="22" customFormat="false" ht="15" hidden="false" customHeight="true" outlineLevel="0" collapsed="false">
      <c r="A22" s="26" t="s">
        <v>127</v>
      </c>
    </row>
    <row r="23" customFormat="false" ht="43.5" hidden="false" customHeight="true" outlineLevel="0" collapsed="false">
      <c r="A23" s="48" t="s">
        <v>116</v>
      </c>
      <c r="B23" s="49" t="s">
        <v>128</v>
      </c>
      <c r="C23" s="53" t="s">
        <v>129</v>
      </c>
      <c r="D23" s="53" t="s">
        <v>130</v>
      </c>
      <c r="E23" s="53" t="s">
        <v>131</v>
      </c>
      <c r="F23" s="49" t="s">
        <v>132</v>
      </c>
      <c r="G23" s="49" t="s">
        <v>133</v>
      </c>
      <c r="H23" s="49" t="s">
        <v>134</v>
      </c>
    </row>
    <row r="24" customFormat="false" ht="15" hidden="false" customHeight="true" outlineLevel="0" collapsed="false">
      <c r="A24" s="46" t="s">
        <v>135</v>
      </c>
      <c r="B24" s="32" t="n">
        <f aca="false">B14</f>
        <v>99</v>
      </c>
      <c r="C24" s="35" t="n">
        <f aca="false">Scenario!$B$13</f>
        <v>28.38</v>
      </c>
      <c r="D24" s="34" t="n">
        <f aca="false">B24-C24</f>
        <v>70.62</v>
      </c>
      <c r="E24" s="54" t="n">
        <f aca="false">D24/B24</f>
        <v>0.713333333333333</v>
      </c>
      <c r="F24" s="35" t="n">
        <f aca="false">Scenario!$F$13</f>
        <v>12.9</v>
      </c>
      <c r="G24" s="34" t="n">
        <f aca="false">B24-F24</f>
        <v>86.1</v>
      </c>
      <c r="H24" s="54" t="n">
        <f aca="false">G24/B24</f>
        <v>0.86969696969697</v>
      </c>
    </row>
    <row r="25" customFormat="false" ht="15" hidden="false" customHeight="true" outlineLevel="0" collapsed="false">
      <c r="A25" s="46" t="s">
        <v>136</v>
      </c>
      <c r="B25" s="32" t="n">
        <f aca="false">B16</f>
        <v>179</v>
      </c>
      <c r="C25" s="35" t="n">
        <f aca="false">Scenario!$B$13</f>
        <v>28.38</v>
      </c>
      <c r="D25" s="34" t="n">
        <f aca="false">B25-C25</f>
        <v>150.62</v>
      </c>
      <c r="E25" s="54" t="n">
        <f aca="false">D25/B25</f>
        <v>0.841452513966481</v>
      </c>
      <c r="F25" s="35" t="n">
        <f aca="false">Scenario!$F$13</f>
        <v>12.9</v>
      </c>
      <c r="G25" s="34" t="n">
        <f aca="false">B25-F25</f>
        <v>166.1</v>
      </c>
      <c r="H25" s="54" t="n">
        <f aca="false">G25/B25</f>
        <v>0.927932960893855</v>
      </c>
    </row>
    <row r="26" customFormat="false" ht="15" hidden="false" customHeight="true" outlineLevel="0" collapsed="false">
      <c r="A26" s="46" t="s">
        <v>137</v>
      </c>
      <c r="B26" s="32" t="n">
        <f aca="false">B18</f>
        <v>279</v>
      </c>
      <c r="C26" s="35" t="n">
        <f aca="false">Scenario!$B$13</f>
        <v>28.38</v>
      </c>
      <c r="D26" s="34" t="n">
        <f aca="false">B26-C26</f>
        <v>250.62</v>
      </c>
      <c r="E26" s="54" t="n">
        <f aca="false">D26/B26</f>
        <v>0.898279569892473</v>
      </c>
      <c r="F26" s="35" t="n">
        <f aca="false">Scenario!$F$13</f>
        <v>12.9</v>
      </c>
      <c r="G26" s="34" t="n">
        <f aca="false">B26-F26</f>
        <v>266.1</v>
      </c>
      <c r="H26" s="54" t="n">
        <f aca="false">G26/B26</f>
        <v>0.953763440860215</v>
      </c>
    </row>
    <row r="27" customFormat="false" ht="30" hidden="false" customHeight="true" outlineLevel="0" collapsed="false">
      <c r="A27" s="51" t="s">
        <v>138</v>
      </c>
    </row>
    <row r="29" customFormat="false" ht="15" hidden="false" customHeight="true" outlineLevel="0" collapsed="false">
      <c r="A29" s="26" t="s">
        <v>139</v>
      </c>
    </row>
    <row r="30" customFormat="false" ht="43.5" hidden="false" customHeight="true" outlineLevel="0" collapsed="false">
      <c r="A30" s="48" t="s">
        <v>116</v>
      </c>
      <c r="B30" s="49" t="s">
        <v>140</v>
      </c>
      <c r="C30" s="49" t="s">
        <v>141</v>
      </c>
      <c r="D30" s="49" t="s">
        <v>142</v>
      </c>
      <c r="E30" s="49" t="s">
        <v>143</v>
      </c>
    </row>
    <row r="31" customFormat="false" ht="15" hidden="false" customHeight="true" outlineLevel="0" collapsed="false">
      <c r="A31" s="46" t="s">
        <v>135</v>
      </c>
      <c r="B31" s="32" t="n">
        <f aca="false">D14</f>
        <v>750</v>
      </c>
      <c r="C31" s="35" t="n">
        <f aca="false">'Kostprijs per klant'!$B$8</f>
        <v>260</v>
      </c>
      <c r="D31" s="34" t="n">
        <f aca="false">B31-C31</f>
        <v>490</v>
      </c>
      <c r="E31" s="54" t="n">
        <f aca="false">D31/B31</f>
        <v>0.653333333333333</v>
      </c>
    </row>
    <row r="32" customFormat="false" ht="15" hidden="false" customHeight="true" outlineLevel="0" collapsed="false">
      <c r="A32" s="46" t="s">
        <v>136</v>
      </c>
      <c r="B32" s="32" t="n">
        <f aca="false">D16</f>
        <v>1000</v>
      </c>
      <c r="C32" s="35" t="n">
        <f aca="false">'Kostprijs per klant'!$B$8</f>
        <v>260</v>
      </c>
      <c r="D32" s="34" t="n">
        <f aca="false">B32-C32</f>
        <v>740</v>
      </c>
      <c r="E32" s="54" t="n">
        <f aca="false">D32/B32</f>
        <v>0.74</v>
      </c>
    </row>
    <row r="33" customFormat="false" ht="15" hidden="false" customHeight="true" outlineLevel="0" collapsed="false">
      <c r="A33" s="46" t="s">
        <v>137</v>
      </c>
      <c r="B33" s="32" t="n">
        <f aca="false">D18</f>
        <v>1500</v>
      </c>
      <c r="C33" s="35" t="n">
        <f aca="false">'Kostprijs per klant'!$B$8</f>
        <v>260</v>
      </c>
      <c r="D33" s="34" t="n">
        <f aca="false">B33-C33</f>
        <v>1240</v>
      </c>
      <c r="E33" s="54" t="n">
        <f aca="false">D33/B33</f>
        <v>0.826666666666667</v>
      </c>
    </row>
    <row r="34" customFormat="false" ht="30" hidden="false" customHeight="true" outlineLevel="0" collapsed="false">
      <c r="A34" s="5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2026-09-05T06:40:46Z</dcterms:created>
  <dc:creator>openpyxl</dc:creator>
  <dc:description/>
  <dc:language>en-US</dc:language>
  <cp:lastModifiedBy/>
  <dcterms:modified xsi:type="dcterms:W3CDTF">2026-09-14T07:23:37Z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