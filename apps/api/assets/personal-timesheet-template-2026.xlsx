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wattbv.sharepoint.com/sites/SWATT/Gedeelde documenten/Personeel/#uren/"/>
    </mc:Choice>
  </mc:AlternateContent>
  <xr:revisionPtr revIDLastSave="242" documentId="13_ncr:1_{28A66850-C40C-4429-8F7C-FA71676ED434}" xr6:coauthVersionLast="47" xr6:coauthVersionMax="47" xr10:uidLastSave="{7D08E5D3-16F6-4FAD-B59D-0B23DEC134EE}"/>
  <bookViews>
    <workbookView xWindow="-120" yWindow="-120" windowWidth="29040" windowHeight="15720" tabRatio="831" activeTab="12" xr2:uid="{00000000-000D-0000-FFFF-FFFF00000000}"/>
  </bookViews>
  <sheets>
    <sheet name="Jan" sheetId="1" r:id="rId1"/>
    <sheet name="Feb" sheetId="2" r:id="rId2"/>
    <sheet name="Maa" sheetId="12" r:id="rId3"/>
    <sheet name="Apr" sheetId="11" r:id="rId4"/>
    <sheet name="Mei" sheetId="17" r:id="rId5"/>
    <sheet name="Jun" sheetId="9" r:id="rId6"/>
    <sheet name="Jul" sheetId="8" r:id="rId7"/>
    <sheet name="Aug" sheetId="7" r:id="rId8"/>
    <sheet name="Sep" sheetId="6" r:id="rId9"/>
    <sheet name="Okt" sheetId="5" r:id="rId10"/>
    <sheet name="Nov" sheetId="4" r:id="rId11"/>
    <sheet name="Dec" sheetId="3" r:id="rId12"/>
    <sheet name="Jaaroverzicht" sheetId="13" r:id="rId13"/>
    <sheet name="Basisgegevens" sheetId="15" r:id="rId14"/>
    <sheet name="Jaar grafiek" sheetId="16" r:id="rId15"/>
  </sheets>
  <definedNames>
    <definedName name="_xlnm.Print_Area" localSheetId="3">Apr!$A$1:$AC$37</definedName>
    <definedName name="_xlnm.Print_Area" localSheetId="7">Aug!$A$1:$AC$38</definedName>
    <definedName name="_xlnm.Print_Area" localSheetId="11">Dec!$A$1:$AC$38</definedName>
    <definedName name="_xlnm.Print_Area" localSheetId="1">Feb!$A$1:$AC$36</definedName>
    <definedName name="_xlnm.Print_Area" localSheetId="0">Jan!$A$1:$AC$38</definedName>
    <definedName name="_xlnm.Print_Area" localSheetId="6">Jul!$A$1:$AC$38</definedName>
    <definedName name="_xlnm.Print_Area" localSheetId="5">Jun!$A$1:$AC$37</definedName>
    <definedName name="_xlnm.Print_Area" localSheetId="2">Maa!$A$1:$AC$38</definedName>
    <definedName name="_xlnm.Print_Area" localSheetId="4">Mei!$A$1:$AC$38</definedName>
    <definedName name="_xlnm.Print_Area" localSheetId="10">Nov!$A$1:$AC$37</definedName>
    <definedName name="_xlnm.Print_Area" localSheetId="9">Okt!$A$1:$AC$38</definedName>
    <definedName name="_xlnm.Print_Area" localSheetId="8">Sep!$A$1:$AC$37</definedName>
    <definedName name="Speciale_dagen">Basisgegevens!$D$4:$D$22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3" l="1"/>
  <c r="H75" i="13"/>
  <c r="G24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23" i="13"/>
  <c r="H22" i="13"/>
  <c r="G23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22" i="13"/>
  <c r="J31" i="2"/>
  <c r="N31" i="2"/>
  <c r="R37" i="9"/>
  <c r="R38" i="1"/>
  <c r="H76" i="13" l="1"/>
  <c r="H78" i="13" s="1"/>
  <c r="R37" i="4"/>
  <c r="R37" i="6"/>
  <c r="R37" i="11"/>
  <c r="R38" i="3"/>
  <c r="R38" i="5"/>
  <c r="R38" i="7"/>
  <c r="R38" i="8"/>
  <c r="R38" i="17"/>
  <c r="R38" i="12"/>
  <c r="AE32" i="4"/>
  <c r="AE31" i="4"/>
  <c r="AE4" i="4"/>
  <c r="AE3" i="4"/>
  <c r="AE3" i="9"/>
  <c r="AE30" i="3"/>
  <c r="AE29" i="3"/>
  <c r="AE33" i="7"/>
  <c r="AE32" i="7"/>
  <c r="AE33" i="17"/>
  <c r="AE4" i="12"/>
  <c r="AE3" i="12"/>
  <c r="AE31" i="2"/>
  <c r="Y15" i="13" l="1"/>
  <c r="Y14" i="13"/>
  <c r="Y13" i="13"/>
  <c r="Y12" i="13"/>
  <c r="Y11" i="13"/>
  <c r="Y10" i="13"/>
  <c r="Y9" i="13"/>
  <c r="Y8" i="13"/>
  <c r="Y7" i="13"/>
  <c r="Y6" i="13"/>
  <c r="Y5" i="13"/>
  <c r="N15" i="13"/>
  <c r="N14" i="13"/>
  <c r="N13" i="13"/>
  <c r="N12" i="13"/>
  <c r="N11" i="13"/>
  <c r="N10" i="13"/>
  <c r="N9" i="13"/>
  <c r="N8" i="13"/>
  <c r="N7" i="13"/>
  <c r="N6" i="13"/>
  <c r="N5" i="13"/>
  <c r="J15" i="13"/>
  <c r="J14" i="13"/>
  <c r="J13" i="13"/>
  <c r="J12" i="13"/>
  <c r="J11" i="13"/>
  <c r="J10" i="13"/>
  <c r="J9" i="13"/>
  <c r="J8" i="13"/>
  <c r="J7" i="13"/>
  <c r="J6" i="13"/>
  <c r="A1" i="3"/>
  <c r="A1" i="4"/>
  <c r="A1" i="5"/>
  <c r="A1" i="6"/>
  <c r="A1" i="7"/>
  <c r="A1" i="8"/>
  <c r="A1" i="9"/>
  <c r="A1" i="17"/>
  <c r="A1" i="11"/>
  <c r="A1" i="12"/>
  <c r="A1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K4" i="1"/>
  <c r="A1" i="1"/>
  <c r="K35" i="1" l="1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4" i="6"/>
  <c r="M4" i="6"/>
  <c r="N3" i="6"/>
  <c r="M3" i="6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4" i="9"/>
  <c r="M4" i="9"/>
  <c r="N3" i="9"/>
  <c r="M3" i="9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4" i="17"/>
  <c r="M4" i="17"/>
  <c r="N3" i="17"/>
  <c r="M3" i="17"/>
  <c r="N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4" i="11"/>
  <c r="M4" i="11"/>
  <c r="N3" i="11"/>
  <c r="M3" i="11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M7" i="12"/>
  <c r="N6" i="12"/>
  <c r="M6" i="12"/>
  <c r="N5" i="12"/>
  <c r="M5" i="12"/>
  <c r="N4" i="12"/>
  <c r="M4" i="12"/>
  <c r="N3" i="12"/>
  <c r="M3" i="12"/>
  <c r="M3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M8" i="2"/>
  <c r="N7" i="2"/>
  <c r="M7" i="2"/>
  <c r="N6" i="2"/>
  <c r="M6" i="2"/>
  <c r="N5" i="2"/>
  <c r="M5" i="2"/>
  <c r="N4" i="2"/>
  <c r="M4" i="2"/>
  <c r="N3" i="2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N4" i="13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5" i="13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N4" i="1"/>
  <c r="L4" i="1"/>
  <c r="AE4" i="1" s="1"/>
  <c r="K30" i="1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" i="3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" i="4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" i="5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" i="6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" i="7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" i="8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" i="9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" i="17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" i="1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1" i="12"/>
  <c r="K32" i="12"/>
  <c r="K33" i="12"/>
  <c r="K3" i="1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N35" i="7" l="1"/>
  <c r="J4" i="13"/>
  <c r="J16" i="13" s="1"/>
  <c r="N34" i="6"/>
  <c r="M34" i="11"/>
  <c r="N7" i="12"/>
  <c r="N35" i="12" s="1"/>
  <c r="N8" i="2"/>
  <c r="N33" i="2" s="1"/>
  <c r="N35" i="3"/>
  <c r="M35" i="3"/>
  <c r="M35" i="5"/>
  <c r="N35" i="5"/>
  <c r="M35" i="7"/>
  <c r="N35" i="8"/>
  <c r="M35" i="8"/>
  <c r="M35" i="17"/>
  <c r="N35" i="17"/>
  <c r="M35" i="12"/>
  <c r="N34" i="4"/>
  <c r="M34" i="4"/>
  <c r="N34" i="9"/>
  <c r="M34" i="9"/>
  <c r="N34" i="11"/>
  <c r="M34" i="6"/>
  <c r="Y4" i="13"/>
  <c r="M35" i="1"/>
  <c r="N35" i="1"/>
  <c r="L4" i="13"/>
  <c r="L5" i="13"/>
  <c r="L6" i="13"/>
  <c r="L7" i="13"/>
  <c r="L8" i="13"/>
  <c r="L9" i="13"/>
  <c r="L10" i="13"/>
  <c r="L11" i="13"/>
  <c r="L12" i="13"/>
  <c r="L13" i="13"/>
  <c r="L14" i="13"/>
  <c r="L15" i="13"/>
  <c r="S35" i="3"/>
  <c r="S34" i="4"/>
  <c r="S35" i="5"/>
  <c r="S34" i="6"/>
  <c r="S35" i="7"/>
  <c r="S35" i="8"/>
  <c r="S34" i="9"/>
  <c r="S34" i="11"/>
  <c r="S35" i="17"/>
  <c r="S35" i="12"/>
  <c r="S33" i="2"/>
  <c r="L3" i="2"/>
  <c r="AE3" i="2" s="1"/>
  <c r="L4" i="2"/>
  <c r="AE4" i="2" s="1"/>
  <c r="X4" i="2"/>
  <c r="Y4" i="2"/>
  <c r="L5" i="2"/>
  <c r="AE5" i="2" s="1"/>
  <c r="L6" i="2"/>
  <c r="AE6" i="2" s="1"/>
  <c r="L7" i="2"/>
  <c r="AE7" i="2" s="1"/>
  <c r="L8" i="2"/>
  <c r="AE8" i="2" s="1"/>
  <c r="L9" i="2"/>
  <c r="AE9" i="2" s="1"/>
  <c r="L10" i="2"/>
  <c r="AE10" i="2" s="1"/>
  <c r="X10" i="2"/>
  <c r="Y10" i="2"/>
  <c r="L11" i="2"/>
  <c r="AE11" i="2" s="1"/>
  <c r="X11" i="2"/>
  <c r="Y11" i="2"/>
  <c r="L12" i="2"/>
  <c r="AE12" i="2" s="1"/>
  <c r="L13" i="2"/>
  <c r="AE13" i="2" s="1"/>
  <c r="L14" i="2"/>
  <c r="AE14" i="2" s="1"/>
  <c r="L15" i="2"/>
  <c r="AE15" i="2" s="1"/>
  <c r="L16" i="2"/>
  <c r="AE16" i="2" s="1"/>
  <c r="L17" i="2"/>
  <c r="AE17" i="2" s="1"/>
  <c r="X17" i="2"/>
  <c r="Y17" i="2"/>
  <c r="L18" i="2"/>
  <c r="AE18" i="2" s="1"/>
  <c r="X18" i="2"/>
  <c r="Y18" i="2"/>
  <c r="L19" i="2"/>
  <c r="AE19" i="2" s="1"/>
  <c r="L20" i="2"/>
  <c r="AE20" i="2" s="1"/>
  <c r="L21" i="2"/>
  <c r="AE21" i="2" s="1"/>
  <c r="L22" i="2"/>
  <c r="AE22" i="2" s="1"/>
  <c r="L23" i="2"/>
  <c r="AE23" i="2" s="1"/>
  <c r="L24" i="2"/>
  <c r="AE24" i="2" s="1"/>
  <c r="X24" i="2"/>
  <c r="Y24" i="2"/>
  <c r="L25" i="2"/>
  <c r="AE25" i="2" s="1"/>
  <c r="X25" i="2"/>
  <c r="Y25" i="2"/>
  <c r="L26" i="2"/>
  <c r="AE26" i="2" s="1"/>
  <c r="L27" i="2"/>
  <c r="AE27" i="2" s="1"/>
  <c r="L28" i="2"/>
  <c r="AE28" i="2" s="1"/>
  <c r="L29" i="2"/>
  <c r="AE29" i="2" s="1"/>
  <c r="L30" i="2"/>
  <c r="AE30" i="2" s="1"/>
  <c r="X31" i="2"/>
  <c r="Y31" i="2"/>
  <c r="R33" i="2"/>
  <c r="S35" i="1"/>
  <c r="M10" i="13"/>
  <c r="O10" i="13"/>
  <c r="P10" i="13"/>
  <c r="Q10" i="13"/>
  <c r="R10" i="13"/>
  <c r="S10" i="13"/>
  <c r="T10" i="13"/>
  <c r="U10" i="13"/>
  <c r="V10" i="13"/>
  <c r="W10" i="13"/>
  <c r="X10" i="13"/>
  <c r="Z10" i="13"/>
  <c r="AA10" i="13"/>
  <c r="K10" i="13"/>
  <c r="R34" i="4"/>
  <c r="R35" i="4" s="1"/>
  <c r="R35" i="5"/>
  <c r="R36" i="5" s="1"/>
  <c r="R34" i="6"/>
  <c r="R35" i="6" s="1"/>
  <c r="L11" i="4"/>
  <c r="AE11" i="4" s="1"/>
  <c r="L12" i="4"/>
  <c r="AE12" i="4" s="1"/>
  <c r="L13" i="4"/>
  <c r="AE13" i="4" s="1"/>
  <c r="L14" i="4"/>
  <c r="AE14" i="4" s="1"/>
  <c r="L15" i="4"/>
  <c r="AE15" i="4" s="1"/>
  <c r="L16" i="4"/>
  <c r="AE16" i="4" s="1"/>
  <c r="R34" i="2" l="1"/>
  <c r="R36" i="2" s="1"/>
  <c r="AE33" i="2"/>
  <c r="F14" i="13"/>
  <c r="F13" i="13"/>
  <c r="F12" i="13"/>
  <c r="L16" i="13"/>
  <c r="L17" i="13" s="1"/>
  <c r="O23" i="13" s="1"/>
  <c r="L33" i="2"/>
  <c r="L8" i="4"/>
  <c r="AE8" i="4" s="1"/>
  <c r="L8" i="5" l="1"/>
  <c r="AE8" i="5" s="1"/>
  <c r="L9" i="5"/>
  <c r="AE9" i="5" s="1"/>
  <c r="L10" i="5"/>
  <c r="AE10" i="5" s="1"/>
  <c r="L11" i="5"/>
  <c r="AE11" i="5" s="1"/>
  <c r="L31" i="6"/>
  <c r="AE31" i="6" s="1"/>
  <c r="L32" i="6"/>
  <c r="AE32" i="6" s="1"/>
  <c r="L4" i="6" l="1"/>
  <c r="AE4" i="6" s="1"/>
  <c r="L5" i="6"/>
  <c r="AE5" i="6" s="1"/>
  <c r="L6" i="6"/>
  <c r="AE6" i="6" s="1"/>
  <c r="H3" i="15" l="1"/>
  <c r="X32" i="12" l="1"/>
  <c r="Y32" i="12"/>
  <c r="X7" i="11"/>
  <c r="Y7" i="11"/>
  <c r="X8" i="11"/>
  <c r="Y8" i="11"/>
  <c r="X14" i="11"/>
  <c r="Y14" i="11"/>
  <c r="X15" i="11"/>
  <c r="Y15" i="11"/>
  <c r="X21" i="11"/>
  <c r="Y21" i="11"/>
  <c r="X22" i="11"/>
  <c r="Y22" i="11"/>
  <c r="X28" i="11"/>
  <c r="Y28" i="11"/>
  <c r="X29" i="11"/>
  <c r="Y29" i="11"/>
  <c r="X5" i="17"/>
  <c r="Y5" i="17"/>
  <c r="X6" i="17"/>
  <c r="Y6" i="17"/>
  <c r="X12" i="17"/>
  <c r="Y12" i="17"/>
  <c r="X13" i="17"/>
  <c r="Y13" i="17"/>
  <c r="X19" i="17"/>
  <c r="Y19" i="17"/>
  <c r="X20" i="17"/>
  <c r="Y20" i="17"/>
  <c r="X26" i="17"/>
  <c r="Y26" i="17"/>
  <c r="X27" i="17"/>
  <c r="Y27" i="17"/>
  <c r="X33" i="17"/>
  <c r="Y33" i="17"/>
  <c r="X9" i="9"/>
  <c r="Y9" i="9"/>
  <c r="X10" i="9"/>
  <c r="Y10" i="9"/>
  <c r="X16" i="9"/>
  <c r="Y16" i="9"/>
  <c r="X17" i="9"/>
  <c r="Y17" i="9"/>
  <c r="X23" i="9"/>
  <c r="Y23" i="9"/>
  <c r="X24" i="9"/>
  <c r="Y24" i="9"/>
  <c r="X30" i="9"/>
  <c r="Y30" i="9"/>
  <c r="X31" i="9"/>
  <c r="Y31" i="9"/>
  <c r="X7" i="8"/>
  <c r="Y7" i="8"/>
  <c r="X8" i="8"/>
  <c r="Y8" i="8"/>
  <c r="X14" i="8"/>
  <c r="Y14" i="8"/>
  <c r="X15" i="8"/>
  <c r="Y15" i="8"/>
  <c r="X21" i="8"/>
  <c r="Y21" i="8"/>
  <c r="X22" i="8"/>
  <c r="Y22" i="8"/>
  <c r="X28" i="8"/>
  <c r="Y28" i="8"/>
  <c r="X29" i="8"/>
  <c r="Y29" i="8"/>
  <c r="X4" i="7"/>
  <c r="Y4" i="7"/>
  <c r="X5" i="7"/>
  <c r="Y5" i="7"/>
  <c r="X11" i="7"/>
  <c r="Y11" i="7"/>
  <c r="X12" i="7"/>
  <c r="Y12" i="7"/>
  <c r="X18" i="7"/>
  <c r="Y18" i="7"/>
  <c r="X19" i="7"/>
  <c r="Y19" i="7"/>
  <c r="X25" i="7"/>
  <c r="Y25" i="7"/>
  <c r="X32" i="7"/>
  <c r="Y32" i="7"/>
  <c r="X8" i="6"/>
  <c r="Y8" i="6"/>
  <c r="X15" i="6"/>
  <c r="Y15" i="6"/>
  <c r="X16" i="6"/>
  <c r="Y16" i="6"/>
  <c r="X22" i="6"/>
  <c r="Y22" i="6"/>
  <c r="X29" i="6"/>
  <c r="Y29" i="6"/>
  <c r="X6" i="5"/>
  <c r="Y6" i="5"/>
  <c r="X20" i="5"/>
  <c r="Y20" i="5"/>
  <c r="X27" i="5"/>
  <c r="Y27" i="5"/>
  <c r="X4" i="4"/>
  <c r="Y4" i="4"/>
  <c r="X10" i="4"/>
  <c r="Y10" i="4"/>
  <c r="X17" i="4"/>
  <c r="Y17" i="4"/>
  <c r="X24" i="4"/>
  <c r="Y24" i="4"/>
  <c r="X25" i="4"/>
  <c r="Y25" i="4"/>
  <c r="X31" i="4"/>
  <c r="Y31" i="4"/>
  <c r="X32" i="4"/>
  <c r="Y32" i="4"/>
  <c r="X8" i="3"/>
  <c r="Y8" i="3"/>
  <c r="X15" i="3"/>
  <c r="Y15" i="3"/>
  <c r="X22" i="3"/>
  <c r="Y22" i="3"/>
  <c r="X29" i="3"/>
  <c r="Y29" i="3"/>
  <c r="Y3" i="4"/>
  <c r="Y3" i="9"/>
  <c r="X3" i="4"/>
  <c r="X3" i="9"/>
  <c r="F5" i="13" l="1"/>
  <c r="K4" i="13" l="1"/>
  <c r="M4" i="13"/>
  <c r="O4" i="13"/>
  <c r="P4" i="13"/>
  <c r="Q4" i="13"/>
  <c r="R4" i="13"/>
  <c r="S4" i="13"/>
  <c r="T4" i="13"/>
  <c r="U4" i="13"/>
  <c r="V4" i="13"/>
  <c r="W4" i="13"/>
  <c r="X4" i="13"/>
  <c r="Z4" i="13"/>
  <c r="AA4" i="13"/>
  <c r="K5" i="13"/>
  <c r="M5" i="13"/>
  <c r="O5" i="13"/>
  <c r="P5" i="13"/>
  <c r="Q5" i="13"/>
  <c r="R5" i="13"/>
  <c r="S5" i="13"/>
  <c r="T5" i="13"/>
  <c r="U5" i="13"/>
  <c r="V5" i="13"/>
  <c r="W5" i="13"/>
  <c r="X5" i="13"/>
  <c r="Z5" i="13"/>
  <c r="AA5" i="13"/>
  <c r="K6" i="13"/>
  <c r="M6" i="13"/>
  <c r="O6" i="13"/>
  <c r="P6" i="13"/>
  <c r="Q6" i="13"/>
  <c r="R6" i="13"/>
  <c r="S6" i="13"/>
  <c r="T6" i="13"/>
  <c r="U6" i="13"/>
  <c r="V6" i="13"/>
  <c r="W6" i="13"/>
  <c r="X6" i="13"/>
  <c r="Z6" i="13"/>
  <c r="AA6" i="13"/>
  <c r="K7" i="13"/>
  <c r="M7" i="13"/>
  <c r="O7" i="13"/>
  <c r="P7" i="13"/>
  <c r="Q7" i="13"/>
  <c r="R7" i="13"/>
  <c r="S7" i="13"/>
  <c r="T7" i="13"/>
  <c r="U7" i="13"/>
  <c r="V7" i="13"/>
  <c r="W7" i="13"/>
  <c r="X7" i="13"/>
  <c r="Z7" i="13"/>
  <c r="AA7" i="13"/>
  <c r="K8" i="13"/>
  <c r="M8" i="13"/>
  <c r="O8" i="13"/>
  <c r="P8" i="13"/>
  <c r="Q8" i="13"/>
  <c r="R8" i="13"/>
  <c r="S8" i="13"/>
  <c r="T8" i="13"/>
  <c r="U8" i="13"/>
  <c r="V8" i="13"/>
  <c r="W8" i="13"/>
  <c r="X8" i="13"/>
  <c r="Z8" i="13"/>
  <c r="AA8" i="13"/>
  <c r="K9" i="13"/>
  <c r="M9" i="13"/>
  <c r="O9" i="13"/>
  <c r="P9" i="13"/>
  <c r="Q9" i="13"/>
  <c r="R9" i="13"/>
  <c r="S9" i="13"/>
  <c r="T9" i="13"/>
  <c r="U9" i="13"/>
  <c r="V9" i="13"/>
  <c r="W9" i="13"/>
  <c r="X9" i="13"/>
  <c r="Z9" i="13"/>
  <c r="AA9" i="13"/>
  <c r="K11" i="13"/>
  <c r="M11" i="13"/>
  <c r="O11" i="13"/>
  <c r="P11" i="13"/>
  <c r="Q11" i="13"/>
  <c r="R11" i="13"/>
  <c r="S11" i="13"/>
  <c r="T11" i="13"/>
  <c r="U11" i="13"/>
  <c r="V11" i="13"/>
  <c r="W11" i="13"/>
  <c r="X11" i="13"/>
  <c r="Z11" i="13"/>
  <c r="AA11" i="13"/>
  <c r="K12" i="13"/>
  <c r="M12" i="13"/>
  <c r="O12" i="13"/>
  <c r="P12" i="13"/>
  <c r="Q12" i="13"/>
  <c r="R12" i="13"/>
  <c r="S12" i="13"/>
  <c r="T12" i="13"/>
  <c r="U12" i="13"/>
  <c r="V12" i="13"/>
  <c r="W12" i="13"/>
  <c r="X12" i="13"/>
  <c r="Z12" i="13"/>
  <c r="AA12" i="13"/>
  <c r="K13" i="13"/>
  <c r="M13" i="13"/>
  <c r="O13" i="13"/>
  <c r="P13" i="13"/>
  <c r="Q13" i="13"/>
  <c r="R13" i="13"/>
  <c r="S13" i="13"/>
  <c r="T13" i="13"/>
  <c r="U13" i="13"/>
  <c r="V13" i="13"/>
  <c r="W13" i="13"/>
  <c r="X13" i="13"/>
  <c r="Z13" i="13"/>
  <c r="AA13" i="13"/>
  <c r="K14" i="13"/>
  <c r="M14" i="13"/>
  <c r="O14" i="13"/>
  <c r="P14" i="13"/>
  <c r="Q14" i="13"/>
  <c r="R14" i="13"/>
  <c r="S14" i="13"/>
  <c r="T14" i="13"/>
  <c r="U14" i="13"/>
  <c r="V14" i="13"/>
  <c r="W14" i="13"/>
  <c r="X14" i="13"/>
  <c r="Z14" i="13"/>
  <c r="AA14" i="13"/>
  <c r="K15" i="13"/>
  <c r="M15" i="13"/>
  <c r="O15" i="13"/>
  <c r="P15" i="13"/>
  <c r="Q15" i="13"/>
  <c r="R15" i="13"/>
  <c r="S15" i="13"/>
  <c r="T15" i="13"/>
  <c r="U15" i="13"/>
  <c r="V15" i="13"/>
  <c r="W15" i="13"/>
  <c r="X15" i="13"/>
  <c r="Z15" i="13"/>
  <c r="AA15" i="13"/>
  <c r="M16" i="13" l="1"/>
  <c r="M17" i="13" s="1"/>
  <c r="N16" i="13"/>
  <c r="N17" i="13" s="1"/>
  <c r="S16" i="13"/>
  <c r="S17" i="13" s="1"/>
  <c r="J17" i="13"/>
  <c r="O27" i="13" s="1"/>
  <c r="Y16" i="13" l="1"/>
  <c r="Y17" i="13" s="1"/>
  <c r="AA16" i="13"/>
  <c r="AA17" i="13" s="1"/>
  <c r="Z16" i="13"/>
  <c r="Z17" i="13" s="1"/>
  <c r="K16" i="13"/>
  <c r="K17" i="13" s="1"/>
  <c r="X16" i="13"/>
  <c r="X17" i="13" s="1"/>
  <c r="W16" i="13"/>
  <c r="W17" i="13" s="1"/>
  <c r="V16" i="13"/>
  <c r="V17" i="13" s="1"/>
  <c r="U16" i="13"/>
  <c r="U17" i="13" s="1"/>
  <c r="T16" i="13"/>
  <c r="T17" i="13" s="1"/>
  <c r="R16" i="13"/>
  <c r="R17" i="13" s="1"/>
  <c r="Q16" i="13"/>
  <c r="Q17" i="13" s="1"/>
  <c r="P16" i="13"/>
  <c r="P17" i="13" s="1"/>
  <c r="O16" i="13"/>
  <c r="O17" i="13" s="1"/>
  <c r="L27" i="17"/>
  <c r="AE27" i="17" s="1"/>
  <c r="L28" i="17"/>
  <c r="AE28" i="17" s="1"/>
  <c r="L29" i="17"/>
  <c r="AE29" i="17" s="1"/>
  <c r="L30" i="17"/>
  <c r="AE30" i="17" s="1"/>
  <c r="L31" i="17"/>
  <c r="AE31" i="17" s="1"/>
  <c r="L32" i="17"/>
  <c r="AE32" i="17" s="1"/>
  <c r="L33" i="17"/>
  <c r="L4" i="3" l="1"/>
  <c r="AE4" i="3" s="1"/>
  <c r="L5" i="3"/>
  <c r="AE5" i="3" s="1"/>
  <c r="L6" i="3"/>
  <c r="AE6" i="3" s="1"/>
  <c r="L7" i="3"/>
  <c r="AE7" i="3" s="1"/>
  <c r="L8" i="3"/>
  <c r="AE8" i="3" s="1"/>
  <c r="L9" i="3"/>
  <c r="AE9" i="3" s="1"/>
  <c r="L10" i="3"/>
  <c r="AE10" i="3" s="1"/>
  <c r="L11" i="3"/>
  <c r="AE11" i="3" s="1"/>
  <c r="L12" i="3"/>
  <c r="AE12" i="3" s="1"/>
  <c r="L13" i="3"/>
  <c r="AE13" i="3" s="1"/>
  <c r="L14" i="3"/>
  <c r="AE14" i="3" s="1"/>
  <c r="L15" i="3"/>
  <c r="AE15" i="3" s="1"/>
  <c r="L16" i="3"/>
  <c r="AE16" i="3" s="1"/>
  <c r="L17" i="3"/>
  <c r="AE17" i="3" s="1"/>
  <c r="L18" i="3"/>
  <c r="AE18" i="3" s="1"/>
  <c r="L19" i="3"/>
  <c r="AE19" i="3" s="1"/>
  <c r="L20" i="3"/>
  <c r="AE20" i="3" s="1"/>
  <c r="L21" i="3"/>
  <c r="AE21" i="3" s="1"/>
  <c r="L22" i="3"/>
  <c r="AE22" i="3" s="1"/>
  <c r="L23" i="3"/>
  <c r="AE23" i="3" s="1"/>
  <c r="L24" i="3"/>
  <c r="AE24" i="3" s="1"/>
  <c r="L25" i="3"/>
  <c r="AE25" i="3" s="1"/>
  <c r="L26" i="3"/>
  <c r="AE26" i="3" s="1"/>
  <c r="L27" i="3"/>
  <c r="AE27" i="3" s="1"/>
  <c r="L28" i="3"/>
  <c r="AE28" i="3" s="1"/>
  <c r="L29" i="3"/>
  <c r="L30" i="3"/>
  <c r="L31" i="3"/>
  <c r="AE31" i="3" s="1"/>
  <c r="L32" i="3"/>
  <c r="AE32" i="3" s="1"/>
  <c r="L33" i="3"/>
  <c r="AE33" i="3" s="1"/>
  <c r="L3" i="3"/>
  <c r="AE3" i="3" s="1"/>
  <c r="L4" i="4"/>
  <c r="L5" i="4"/>
  <c r="AE5" i="4" s="1"/>
  <c r="L6" i="4"/>
  <c r="AE6" i="4" s="1"/>
  <c r="L7" i="4"/>
  <c r="AE7" i="4" s="1"/>
  <c r="L9" i="4"/>
  <c r="AE9" i="4" s="1"/>
  <c r="L10" i="4"/>
  <c r="AE10" i="4" s="1"/>
  <c r="L17" i="4"/>
  <c r="AE17" i="4" s="1"/>
  <c r="L18" i="4"/>
  <c r="AE18" i="4" s="1"/>
  <c r="L19" i="4"/>
  <c r="AE19" i="4" s="1"/>
  <c r="L20" i="4"/>
  <c r="AE20" i="4" s="1"/>
  <c r="L21" i="4"/>
  <c r="AE21" i="4" s="1"/>
  <c r="L22" i="4"/>
  <c r="AE22" i="4" s="1"/>
  <c r="L23" i="4"/>
  <c r="AE23" i="4" s="1"/>
  <c r="L24" i="4"/>
  <c r="AE24" i="4" s="1"/>
  <c r="L25" i="4"/>
  <c r="AE25" i="4" s="1"/>
  <c r="L26" i="4"/>
  <c r="AE26" i="4" s="1"/>
  <c r="L27" i="4"/>
  <c r="AE27" i="4" s="1"/>
  <c r="L28" i="4"/>
  <c r="AE28" i="4" s="1"/>
  <c r="L29" i="4"/>
  <c r="AE29" i="4" s="1"/>
  <c r="L30" i="4"/>
  <c r="AE30" i="4" s="1"/>
  <c r="L31" i="4"/>
  <c r="L32" i="4"/>
  <c r="L3" i="4"/>
  <c r="L4" i="5"/>
  <c r="AE4" i="5" s="1"/>
  <c r="L5" i="5"/>
  <c r="AE5" i="5" s="1"/>
  <c r="L6" i="5"/>
  <c r="AE6" i="5" s="1"/>
  <c r="L7" i="5"/>
  <c r="AE7" i="5" s="1"/>
  <c r="L12" i="5"/>
  <c r="AE12" i="5" s="1"/>
  <c r="L13" i="5"/>
  <c r="AE13" i="5" s="1"/>
  <c r="L14" i="5"/>
  <c r="AE14" i="5" s="1"/>
  <c r="L15" i="5"/>
  <c r="AE15" i="5" s="1"/>
  <c r="L16" i="5"/>
  <c r="AE16" i="5" s="1"/>
  <c r="L17" i="5"/>
  <c r="AE17" i="5" s="1"/>
  <c r="L18" i="5"/>
  <c r="AE18" i="5" s="1"/>
  <c r="L19" i="5"/>
  <c r="AE19" i="5" s="1"/>
  <c r="L20" i="5"/>
  <c r="AE20" i="5" s="1"/>
  <c r="L21" i="5"/>
  <c r="AE21" i="5" s="1"/>
  <c r="L22" i="5"/>
  <c r="AE22" i="5" s="1"/>
  <c r="L23" i="5"/>
  <c r="AE23" i="5" s="1"/>
  <c r="L24" i="5"/>
  <c r="AE24" i="5" s="1"/>
  <c r="L25" i="5"/>
  <c r="AE25" i="5" s="1"/>
  <c r="L26" i="5"/>
  <c r="AE26" i="5" s="1"/>
  <c r="L27" i="5"/>
  <c r="AE27" i="5" s="1"/>
  <c r="L28" i="5"/>
  <c r="AE28" i="5" s="1"/>
  <c r="L29" i="5"/>
  <c r="AE29" i="5" s="1"/>
  <c r="L30" i="5"/>
  <c r="AE30" i="5" s="1"/>
  <c r="L31" i="5"/>
  <c r="AE31" i="5" s="1"/>
  <c r="L32" i="5"/>
  <c r="AE32" i="5" s="1"/>
  <c r="L33" i="5"/>
  <c r="AE33" i="5" s="1"/>
  <c r="L3" i="5"/>
  <c r="AE3" i="5" s="1"/>
  <c r="L7" i="6"/>
  <c r="AE7" i="6" s="1"/>
  <c r="L8" i="6"/>
  <c r="AE8" i="6" s="1"/>
  <c r="L9" i="6"/>
  <c r="AE9" i="6" s="1"/>
  <c r="L10" i="6"/>
  <c r="AE10" i="6" s="1"/>
  <c r="L11" i="6"/>
  <c r="AE11" i="6" s="1"/>
  <c r="L12" i="6"/>
  <c r="AE12" i="6" s="1"/>
  <c r="L13" i="6"/>
  <c r="AE13" i="6" s="1"/>
  <c r="L14" i="6"/>
  <c r="AE14" i="6" s="1"/>
  <c r="L15" i="6"/>
  <c r="AE15" i="6" s="1"/>
  <c r="L16" i="6"/>
  <c r="AE16" i="6" s="1"/>
  <c r="L17" i="6"/>
  <c r="AE17" i="6" s="1"/>
  <c r="L18" i="6"/>
  <c r="AE18" i="6" s="1"/>
  <c r="L19" i="6"/>
  <c r="AE19" i="6" s="1"/>
  <c r="L20" i="6"/>
  <c r="AE20" i="6" s="1"/>
  <c r="L21" i="6"/>
  <c r="AE21" i="6" s="1"/>
  <c r="L22" i="6"/>
  <c r="AE22" i="6" s="1"/>
  <c r="L23" i="6"/>
  <c r="AE23" i="6" s="1"/>
  <c r="L24" i="6"/>
  <c r="AE24" i="6" s="1"/>
  <c r="L25" i="6"/>
  <c r="AE25" i="6" s="1"/>
  <c r="L26" i="6"/>
  <c r="AE26" i="6" s="1"/>
  <c r="L27" i="6"/>
  <c r="AE27" i="6" s="1"/>
  <c r="L28" i="6"/>
  <c r="AE28" i="6" s="1"/>
  <c r="L29" i="6"/>
  <c r="AE29" i="6" s="1"/>
  <c r="L30" i="6"/>
  <c r="AE30" i="6" s="1"/>
  <c r="L3" i="6"/>
  <c r="AE3" i="6" s="1"/>
  <c r="L4" i="7"/>
  <c r="AE4" i="7" s="1"/>
  <c r="L5" i="7"/>
  <c r="AE5" i="7" s="1"/>
  <c r="L6" i="7"/>
  <c r="AE6" i="7" s="1"/>
  <c r="L7" i="7"/>
  <c r="AE7" i="7" s="1"/>
  <c r="L8" i="7"/>
  <c r="AE8" i="7" s="1"/>
  <c r="L9" i="7"/>
  <c r="AE9" i="7" s="1"/>
  <c r="L10" i="7"/>
  <c r="AE10" i="7" s="1"/>
  <c r="L11" i="7"/>
  <c r="AE11" i="7" s="1"/>
  <c r="L12" i="7"/>
  <c r="AE12" i="7" s="1"/>
  <c r="L13" i="7"/>
  <c r="AE13" i="7" s="1"/>
  <c r="L14" i="7"/>
  <c r="AE14" i="7" s="1"/>
  <c r="L15" i="7"/>
  <c r="AE15" i="7" s="1"/>
  <c r="L16" i="7"/>
  <c r="AE16" i="7" s="1"/>
  <c r="L17" i="7"/>
  <c r="AE17" i="7" s="1"/>
  <c r="L18" i="7"/>
  <c r="AE18" i="7" s="1"/>
  <c r="L19" i="7"/>
  <c r="AE19" i="7" s="1"/>
  <c r="L20" i="7"/>
  <c r="AE20" i="7" s="1"/>
  <c r="L21" i="7"/>
  <c r="AE21" i="7" s="1"/>
  <c r="L22" i="7"/>
  <c r="AE22" i="7" s="1"/>
  <c r="L23" i="7"/>
  <c r="AE23" i="7" s="1"/>
  <c r="L24" i="7"/>
  <c r="AE24" i="7" s="1"/>
  <c r="L25" i="7"/>
  <c r="AE25" i="7" s="1"/>
  <c r="L26" i="7"/>
  <c r="AE26" i="7" s="1"/>
  <c r="L27" i="7"/>
  <c r="AE27" i="7" s="1"/>
  <c r="L28" i="7"/>
  <c r="AE28" i="7" s="1"/>
  <c r="L29" i="7"/>
  <c r="AE29" i="7" s="1"/>
  <c r="L30" i="7"/>
  <c r="AE30" i="7" s="1"/>
  <c r="L31" i="7"/>
  <c r="AE31" i="7" s="1"/>
  <c r="L32" i="7"/>
  <c r="L33" i="7"/>
  <c r="L3" i="7"/>
  <c r="AE3" i="7" s="1"/>
  <c r="L4" i="8"/>
  <c r="AE4" i="8" s="1"/>
  <c r="L5" i="8"/>
  <c r="AE5" i="8" s="1"/>
  <c r="L6" i="8"/>
  <c r="AE6" i="8" s="1"/>
  <c r="L7" i="8"/>
  <c r="AE7" i="8" s="1"/>
  <c r="L8" i="8"/>
  <c r="AE8" i="8" s="1"/>
  <c r="L9" i="8"/>
  <c r="AE9" i="8" s="1"/>
  <c r="L10" i="8"/>
  <c r="AE10" i="8" s="1"/>
  <c r="L11" i="8"/>
  <c r="AE11" i="8" s="1"/>
  <c r="L12" i="8"/>
  <c r="AE12" i="8" s="1"/>
  <c r="L13" i="8"/>
  <c r="AE13" i="8" s="1"/>
  <c r="L14" i="8"/>
  <c r="AE14" i="8" s="1"/>
  <c r="L15" i="8"/>
  <c r="AE15" i="8" s="1"/>
  <c r="L16" i="8"/>
  <c r="AE16" i="8" s="1"/>
  <c r="L17" i="8"/>
  <c r="AE17" i="8" s="1"/>
  <c r="L18" i="8"/>
  <c r="AE18" i="8" s="1"/>
  <c r="L19" i="8"/>
  <c r="AE19" i="8" s="1"/>
  <c r="L20" i="8"/>
  <c r="AE20" i="8" s="1"/>
  <c r="L21" i="8"/>
  <c r="AE21" i="8" s="1"/>
  <c r="L22" i="8"/>
  <c r="AE22" i="8" s="1"/>
  <c r="L23" i="8"/>
  <c r="AE23" i="8" s="1"/>
  <c r="L24" i="8"/>
  <c r="AE24" i="8" s="1"/>
  <c r="L25" i="8"/>
  <c r="AE25" i="8" s="1"/>
  <c r="L26" i="8"/>
  <c r="AE26" i="8" s="1"/>
  <c r="L27" i="8"/>
  <c r="AE27" i="8" s="1"/>
  <c r="L28" i="8"/>
  <c r="AE28" i="8" s="1"/>
  <c r="L29" i="8"/>
  <c r="AE29" i="8" s="1"/>
  <c r="L30" i="8"/>
  <c r="AE30" i="8" s="1"/>
  <c r="L31" i="8"/>
  <c r="AE31" i="8" s="1"/>
  <c r="L32" i="8"/>
  <c r="AE32" i="8" s="1"/>
  <c r="L33" i="8"/>
  <c r="AE33" i="8" s="1"/>
  <c r="L3" i="8"/>
  <c r="AE3" i="8" s="1"/>
  <c r="L3" i="9"/>
  <c r="L4" i="9"/>
  <c r="AE4" i="9" s="1"/>
  <c r="L5" i="9"/>
  <c r="AE5" i="9" s="1"/>
  <c r="L6" i="9"/>
  <c r="AE6" i="9" s="1"/>
  <c r="L7" i="9"/>
  <c r="AE7" i="9" s="1"/>
  <c r="L8" i="9"/>
  <c r="AE8" i="9" s="1"/>
  <c r="L9" i="9"/>
  <c r="AE9" i="9" s="1"/>
  <c r="L10" i="9"/>
  <c r="AE10" i="9" s="1"/>
  <c r="L11" i="9"/>
  <c r="AE11" i="9" s="1"/>
  <c r="L12" i="9"/>
  <c r="AE12" i="9" s="1"/>
  <c r="L13" i="9"/>
  <c r="AE13" i="9" s="1"/>
  <c r="L14" i="9"/>
  <c r="AE14" i="9" s="1"/>
  <c r="L15" i="9"/>
  <c r="AE15" i="9" s="1"/>
  <c r="L16" i="9"/>
  <c r="AE16" i="9" s="1"/>
  <c r="L17" i="9"/>
  <c r="AE17" i="9" s="1"/>
  <c r="L18" i="9"/>
  <c r="AE18" i="9" s="1"/>
  <c r="L19" i="9"/>
  <c r="AE19" i="9" s="1"/>
  <c r="L20" i="9"/>
  <c r="AE20" i="9" s="1"/>
  <c r="L21" i="9"/>
  <c r="AE21" i="9" s="1"/>
  <c r="L22" i="9"/>
  <c r="AE22" i="9" s="1"/>
  <c r="L23" i="9"/>
  <c r="AE23" i="9" s="1"/>
  <c r="L24" i="9"/>
  <c r="AE24" i="9" s="1"/>
  <c r="L25" i="9"/>
  <c r="AE25" i="9" s="1"/>
  <c r="L26" i="9"/>
  <c r="AE26" i="9" s="1"/>
  <c r="L27" i="9"/>
  <c r="AE27" i="9" s="1"/>
  <c r="L28" i="9"/>
  <c r="AE28" i="9" s="1"/>
  <c r="L29" i="9"/>
  <c r="AE29" i="9" s="1"/>
  <c r="L30" i="9"/>
  <c r="AE30" i="9" s="1"/>
  <c r="L31" i="9"/>
  <c r="AE31" i="9" s="1"/>
  <c r="L32" i="9"/>
  <c r="AE32" i="9" s="1"/>
  <c r="L4" i="17"/>
  <c r="AE4" i="17" s="1"/>
  <c r="L5" i="17"/>
  <c r="AE5" i="17" s="1"/>
  <c r="L6" i="17"/>
  <c r="AE6" i="17" s="1"/>
  <c r="L7" i="17"/>
  <c r="AE7" i="17" s="1"/>
  <c r="L8" i="17"/>
  <c r="AE8" i="17" s="1"/>
  <c r="L9" i="17"/>
  <c r="AE9" i="17" s="1"/>
  <c r="L10" i="17"/>
  <c r="AE10" i="17" s="1"/>
  <c r="L11" i="17"/>
  <c r="AE11" i="17" s="1"/>
  <c r="L12" i="17"/>
  <c r="AE12" i="17" s="1"/>
  <c r="L13" i="17"/>
  <c r="AE13" i="17" s="1"/>
  <c r="L14" i="17"/>
  <c r="AE14" i="17" s="1"/>
  <c r="L15" i="17"/>
  <c r="AE15" i="17" s="1"/>
  <c r="L16" i="17"/>
  <c r="AE16" i="17" s="1"/>
  <c r="L17" i="17"/>
  <c r="AE17" i="17" s="1"/>
  <c r="L18" i="17"/>
  <c r="AE18" i="17" s="1"/>
  <c r="L19" i="17"/>
  <c r="AE19" i="17" s="1"/>
  <c r="L20" i="17"/>
  <c r="AE20" i="17" s="1"/>
  <c r="L21" i="17"/>
  <c r="AE21" i="17" s="1"/>
  <c r="L22" i="17"/>
  <c r="AE22" i="17" s="1"/>
  <c r="L23" i="17"/>
  <c r="AE23" i="17" s="1"/>
  <c r="L24" i="17"/>
  <c r="AE24" i="17" s="1"/>
  <c r="L25" i="17"/>
  <c r="AE25" i="17" s="1"/>
  <c r="L26" i="17"/>
  <c r="AE26" i="17" s="1"/>
  <c r="L3" i="17"/>
  <c r="AE3" i="17" s="1"/>
  <c r="L4" i="11"/>
  <c r="AE4" i="11" s="1"/>
  <c r="L5" i="11"/>
  <c r="AE5" i="11" s="1"/>
  <c r="L6" i="11"/>
  <c r="AE6" i="11" s="1"/>
  <c r="L7" i="11"/>
  <c r="AE7" i="11" s="1"/>
  <c r="L8" i="11"/>
  <c r="AE8" i="11" s="1"/>
  <c r="L9" i="11"/>
  <c r="AE9" i="11" s="1"/>
  <c r="L10" i="11"/>
  <c r="AE10" i="11" s="1"/>
  <c r="L11" i="11"/>
  <c r="AE11" i="11" s="1"/>
  <c r="L12" i="11"/>
  <c r="AE12" i="11" s="1"/>
  <c r="L13" i="11"/>
  <c r="AE13" i="11" s="1"/>
  <c r="L14" i="11"/>
  <c r="AE14" i="11" s="1"/>
  <c r="L15" i="11"/>
  <c r="AE15" i="11" s="1"/>
  <c r="L16" i="11"/>
  <c r="AE16" i="11" s="1"/>
  <c r="L17" i="11"/>
  <c r="AE17" i="11" s="1"/>
  <c r="L18" i="11"/>
  <c r="AE18" i="11" s="1"/>
  <c r="L19" i="11"/>
  <c r="AE19" i="11" s="1"/>
  <c r="L20" i="11"/>
  <c r="AE20" i="11" s="1"/>
  <c r="L21" i="11"/>
  <c r="AE21" i="11" s="1"/>
  <c r="L22" i="11"/>
  <c r="AE22" i="11" s="1"/>
  <c r="L23" i="11"/>
  <c r="AE23" i="11" s="1"/>
  <c r="L24" i="11"/>
  <c r="AE24" i="11" s="1"/>
  <c r="L25" i="11"/>
  <c r="AE25" i="11" s="1"/>
  <c r="L26" i="11"/>
  <c r="AE26" i="11" s="1"/>
  <c r="L27" i="11"/>
  <c r="AE27" i="11" s="1"/>
  <c r="L28" i="11"/>
  <c r="AE28" i="11" s="1"/>
  <c r="L29" i="11"/>
  <c r="AE29" i="11" s="1"/>
  <c r="L30" i="11"/>
  <c r="AE30" i="11" s="1"/>
  <c r="L31" i="11"/>
  <c r="AE31" i="11" s="1"/>
  <c r="L32" i="11"/>
  <c r="AE32" i="11" s="1"/>
  <c r="L3" i="11"/>
  <c r="AE3" i="11" s="1"/>
  <c r="AE35" i="3" l="1"/>
  <c r="AE34" i="4"/>
  <c r="AE35" i="5"/>
  <c r="AE34" i="6"/>
  <c r="AE35" i="7"/>
  <c r="AE35" i="8"/>
  <c r="AE34" i="9"/>
  <c r="AE35" i="17"/>
  <c r="AE34" i="11"/>
  <c r="L35" i="17"/>
  <c r="L34" i="6"/>
  <c r="L35" i="8"/>
  <c r="L34" i="4"/>
  <c r="L34" i="11"/>
  <c r="L35" i="3"/>
  <c r="L35" i="5"/>
  <c r="L34" i="9"/>
  <c r="L35" i="7"/>
  <c r="L4" i="12"/>
  <c r="L5" i="12"/>
  <c r="AE5" i="12" s="1"/>
  <c r="L6" i="12"/>
  <c r="AE6" i="12" s="1"/>
  <c r="L7" i="12"/>
  <c r="AE7" i="12" s="1"/>
  <c r="L8" i="12"/>
  <c r="AE8" i="12" s="1"/>
  <c r="L9" i="12"/>
  <c r="AE9" i="12" s="1"/>
  <c r="L10" i="12"/>
  <c r="AE10" i="12" s="1"/>
  <c r="L11" i="12"/>
  <c r="AE11" i="12" s="1"/>
  <c r="L12" i="12"/>
  <c r="AE12" i="12" s="1"/>
  <c r="L13" i="12"/>
  <c r="AE13" i="12" s="1"/>
  <c r="L14" i="12"/>
  <c r="AE14" i="12" s="1"/>
  <c r="L15" i="12"/>
  <c r="AE15" i="12" s="1"/>
  <c r="L16" i="12"/>
  <c r="AE16" i="12" s="1"/>
  <c r="L17" i="12"/>
  <c r="AE17" i="12" s="1"/>
  <c r="L18" i="12"/>
  <c r="AE18" i="12" s="1"/>
  <c r="L19" i="12"/>
  <c r="AE19" i="12" s="1"/>
  <c r="L20" i="12"/>
  <c r="AE20" i="12" s="1"/>
  <c r="L21" i="12"/>
  <c r="AE21" i="12" s="1"/>
  <c r="L22" i="12"/>
  <c r="AE22" i="12" s="1"/>
  <c r="L23" i="12"/>
  <c r="AE23" i="12" s="1"/>
  <c r="L24" i="12"/>
  <c r="AE24" i="12" s="1"/>
  <c r="L25" i="12"/>
  <c r="AE25" i="12" s="1"/>
  <c r="L26" i="12"/>
  <c r="AE26" i="12" s="1"/>
  <c r="L27" i="12"/>
  <c r="AE27" i="12" s="1"/>
  <c r="L28" i="12"/>
  <c r="AE28" i="12" s="1"/>
  <c r="L29" i="12"/>
  <c r="AE29" i="12" s="1"/>
  <c r="L30" i="12"/>
  <c r="AE30" i="12" s="1"/>
  <c r="L31" i="12"/>
  <c r="AE31" i="12" s="1"/>
  <c r="L32" i="12"/>
  <c r="AE32" i="12" s="1"/>
  <c r="L33" i="12"/>
  <c r="AE33" i="12" s="1"/>
  <c r="L3" i="12"/>
  <c r="AE35" i="12" l="1"/>
  <c r="L35" i="12"/>
  <c r="R35" i="1"/>
  <c r="L5" i="1"/>
  <c r="AE5" i="1" s="1"/>
  <c r="L6" i="1"/>
  <c r="AE6" i="1" s="1"/>
  <c r="L7" i="1"/>
  <c r="AE7" i="1" s="1"/>
  <c r="L8" i="1"/>
  <c r="AE8" i="1" s="1"/>
  <c r="L9" i="1"/>
  <c r="AE9" i="1" s="1"/>
  <c r="L10" i="1"/>
  <c r="AE10" i="1" s="1"/>
  <c r="L11" i="1"/>
  <c r="AE11" i="1" s="1"/>
  <c r="L12" i="1"/>
  <c r="AE12" i="1" s="1"/>
  <c r="L13" i="1"/>
  <c r="AE13" i="1" s="1"/>
  <c r="L14" i="1"/>
  <c r="AE14" i="1" s="1"/>
  <c r="L15" i="1"/>
  <c r="AE15" i="1" s="1"/>
  <c r="L16" i="1"/>
  <c r="AE16" i="1" s="1"/>
  <c r="L17" i="1"/>
  <c r="AE17" i="1" s="1"/>
  <c r="L18" i="1"/>
  <c r="AE18" i="1" s="1"/>
  <c r="L19" i="1"/>
  <c r="AE19" i="1" s="1"/>
  <c r="L20" i="1"/>
  <c r="AE20" i="1" s="1"/>
  <c r="L21" i="1"/>
  <c r="AE21" i="1" s="1"/>
  <c r="L22" i="1"/>
  <c r="AE22" i="1" s="1"/>
  <c r="L23" i="1"/>
  <c r="AE23" i="1" s="1"/>
  <c r="L24" i="1"/>
  <c r="AE24" i="1" s="1"/>
  <c r="L25" i="1"/>
  <c r="AE25" i="1" s="1"/>
  <c r="L26" i="1"/>
  <c r="AE26" i="1" s="1"/>
  <c r="L27" i="1"/>
  <c r="AE27" i="1" s="1"/>
  <c r="L28" i="1"/>
  <c r="AE28" i="1" s="1"/>
  <c r="L29" i="1"/>
  <c r="AE29" i="1" s="1"/>
  <c r="L30" i="1"/>
  <c r="AE30" i="1" s="1"/>
  <c r="L31" i="1"/>
  <c r="AE31" i="1" s="1"/>
  <c r="L32" i="1"/>
  <c r="AE32" i="1" s="1"/>
  <c r="L33" i="1"/>
  <c r="AE33" i="1" s="1"/>
  <c r="L3" i="1"/>
  <c r="AE3" i="1" s="1"/>
  <c r="AE35" i="1" l="1"/>
  <c r="O33" i="13" s="1"/>
  <c r="O34" i="13" s="1"/>
  <c r="F4" i="13"/>
  <c r="R36" i="1"/>
  <c r="B3" i="1"/>
  <c r="L35" i="1"/>
  <c r="W3" i="1" l="1"/>
  <c r="V3" i="1"/>
  <c r="O3" i="1"/>
  <c r="R35" i="3"/>
  <c r="R36" i="3" s="1"/>
  <c r="R35" i="7"/>
  <c r="R36" i="7" s="1"/>
  <c r="R35" i="8"/>
  <c r="R36" i="8" s="1"/>
  <c r="R34" i="9"/>
  <c r="R35" i="9" s="1"/>
  <c r="K35" i="17"/>
  <c r="R35" i="17"/>
  <c r="R36" i="17" s="1"/>
  <c r="R34" i="11"/>
  <c r="R35" i="11" s="1"/>
  <c r="R35" i="12"/>
  <c r="R36" i="12" s="1"/>
  <c r="P3" i="1" l="1"/>
  <c r="F15" i="13"/>
  <c r="F11" i="13"/>
  <c r="F10" i="13"/>
  <c r="F9" i="13"/>
  <c r="F8" i="13"/>
  <c r="F7" i="13"/>
  <c r="F6" i="13"/>
  <c r="K35" i="3"/>
  <c r="K35" i="7"/>
  <c r="K35" i="12"/>
  <c r="Q3" i="1"/>
  <c r="K34" i="6"/>
  <c r="K34" i="11"/>
  <c r="K34" i="9"/>
  <c r="K35" i="8"/>
  <c r="B4" i="1"/>
  <c r="A3" i="1"/>
  <c r="K34" i="4"/>
  <c r="K35" i="5"/>
  <c r="X3" i="1" l="1"/>
  <c r="Y3" i="1"/>
  <c r="F16" i="13"/>
  <c r="W4" i="1"/>
  <c r="V4" i="1"/>
  <c r="O4" i="1"/>
  <c r="Q4" i="1"/>
  <c r="A4" i="1"/>
  <c r="B5" i="1"/>
  <c r="W5" i="1" l="1"/>
  <c r="V5" i="1"/>
  <c r="Q5" i="1"/>
  <c r="P4" i="1"/>
  <c r="X4" i="1" s="1"/>
  <c r="O5" i="1"/>
  <c r="B6" i="1"/>
  <c r="A5" i="1"/>
  <c r="W6" i="1" l="1"/>
  <c r="V6" i="1"/>
  <c r="Y4" i="1"/>
  <c r="P5" i="1"/>
  <c r="X5" i="1" s="1"/>
  <c r="O6" i="1"/>
  <c r="Q6" i="1"/>
  <c r="A6" i="1"/>
  <c r="B7" i="1"/>
  <c r="W7" i="1" l="1"/>
  <c r="V7" i="1"/>
  <c r="P6" i="1"/>
  <c r="X6" i="1" s="1"/>
  <c r="Y5" i="1"/>
  <c r="Q7" i="1"/>
  <c r="O7" i="1"/>
  <c r="A7" i="1"/>
  <c r="B8" i="1"/>
  <c r="W8" i="1" l="1"/>
  <c r="V8" i="1"/>
  <c r="P7" i="1"/>
  <c r="Y7" i="1" s="1"/>
  <c r="Y6" i="1"/>
  <c r="O8" i="1"/>
  <c r="Q8" i="1"/>
  <c r="B9" i="1"/>
  <c r="A8" i="1"/>
  <c r="W9" i="1" l="1"/>
  <c r="V9" i="1"/>
  <c r="P8" i="1"/>
  <c r="X8" i="1"/>
  <c r="Y8" i="1"/>
  <c r="X7" i="1"/>
  <c r="O9" i="1"/>
  <c r="Q9" i="1"/>
  <c r="A9" i="1"/>
  <c r="B10" i="1"/>
  <c r="W10" i="1" l="1"/>
  <c r="V10" i="1"/>
  <c r="P9" i="1"/>
  <c r="X9" i="1" s="1"/>
  <c r="Y9" i="1"/>
  <c r="Q10" i="1"/>
  <c r="O10" i="1"/>
  <c r="A10" i="1"/>
  <c r="B11" i="1"/>
  <c r="P10" i="1" l="1"/>
  <c r="X10" i="1"/>
  <c r="Y10" i="1"/>
  <c r="W11" i="1"/>
  <c r="V11" i="1"/>
  <c r="O11" i="1"/>
  <c r="Q11" i="1"/>
  <c r="A11" i="1"/>
  <c r="B12" i="1"/>
  <c r="W12" i="1" l="1"/>
  <c r="V12" i="1"/>
  <c r="P11" i="1"/>
  <c r="X11" i="1" s="1"/>
  <c r="O12" i="1"/>
  <c r="Q12" i="1"/>
  <c r="A12" i="1"/>
  <c r="B13" i="1"/>
  <c r="W13" i="1" l="1"/>
  <c r="V13" i="1"/>
  <c r="P12" i="1"/>
  <c r="X12" i="1" s="1"/>
  <c r="Y11" i="1"/>
  <c r="Q13" i="1"/>
  <c r="O13" i="1"/>
  <c r="B14" i="1"/>
  <c r="A13" i="1"/>
  <c r="W14" i="1" l="1"/>
  <c r="V14" i="1"/>
  <c r="P13" i="1"/>
  <c r="Y13" i="1" s="1"/>
  <c r="Y12" i="1"/>
  <c r="O14" i="1"/>
  <c r="Q14" i="1"/>
  <c r="A14" i="1"/>
  <c r="B15" i="1"/>
  <c r="W15" i="1" l="1"/>
  <c r="V15" i="1"/>
  <c r="P14" i="1"/>
  <c r="X14" i="1" s="1"/>
  <c r="X13" i="1"/>
  <c r="O15" i="1"/>
  <c r="Q15" i="1"/>
  <c r="A15" i="1"/>
  <c r="B16" i="1"/>
  <c r="W16" i="1" l="1"/>
  <c r="V16" i="1"/>
  <c r="Y14" i="1"/>
  <c r="P15" i="1"/>
  <c r="X15" i="1" s="1"/>
  <c r="Q16" i="1"/>
  <c r="O16" i="1"/>
  <c r="A16" i="1"/>
  <c r="B17" i="1"/>
  <c r="W17" i="1" l="1"/>
  <c r="V17" i="1"/>
  <c r="P16" i="1"/>
  <c r="X16" i="1" s="1"/>
  <c r="Y15" i="1"/>
  <c r="O17" i="1"/>
  <c r="Q17" i="1"/>
  <c r="B18" i="1"/>
  <c r="A17" i="1"/>
  <c r="P17" i="1" l="1"/>
  <c r="Y17" i="1"/>
  <c r="X17" i="1"/>
  <c r="W18" i="1"/>
  <c r="V18" i="1"/>
  <c r="Y16" i="1"/>
  <c r="O18" i="1"/>
  <c r="Q18" i="1"/>
  <c r="A18" i="1"/>
  <c r="B19" i="1"/>
  <c r="W19" i="1" l="1"/>
  <c r="V19" i="1"/>
  <c r="P18" i="1"/>
  <c r="X18" i="1" s="1"/>
  <c r="Q19" i="1"/>
  <c r="O19" i="1"/>
  <c r="B20" i="1"/>
  <c r="A19" i="1"/>
  <c r="W20" i="1" l="1"/>
  <c r="V20" i="1"/>
  <c r="P19" i="1"/>
  <c r="X19" i="1" s="1"/>
  <c r="Y18" i="1"/>
  <c r="Q20" i="1"/>
  <c r="O20" i="1"/>
  <c r="B21" i="1"/>
  <c r="A20" i="1"/>
  <c r="W21" i="1" l="1"/>
  <c r="V21" i="1"/>
  <c r="Y19" i="1"/>
  <c r="P20" i="1"/>
  <c r="X20" i="1" s="1"/>
  <c r="O21" i="1"/>
  <c r="Q21" i="1"/>
  <c r="A21" i="1"/>
  <c r="B22" i="1"/>
  <c r="W22" i="1" l="1"/>
  <c r="V22" i="1"/>
  <c r="P21" i="1"/>
  <c r="X21" i="1" s="1"/>
  <c r="Y20" i="1"/>
  <c r="O22" i="1"/>
  <c r="Q22" i="1"/>
  <c r="A22" i="1"/>
  <c r="B23" i="1"/>
  <c r="W23" i="1" l="1"/>
  <c r="V23" i="1"/>
  <c r="Y21" i="1"/>
  <c r="P22" i="1"/>
  <c r="X22" i="1" s="1"/>
  <c r="Q23" i="1"/>
  <c r="O23" i="1"/>
  <c r="B24" i="1"/>
  <c r="A23" i="1"/>
  <c r="P23" i="1" l="1"/>
  <c r="X23" i="1"/>
  <c r="Y23" i="1"/>
  <c r="W24" i="1"/>
  <c r="V24" i="1"/>
  <c r="Y22" i="1"/>
  <c r="O24" i="1"/>
  <c r="Q24" i="1"/>
  <c r="B25" i="1"/>
  <c r="A24" i="1"/>
  <c r="P24" i="1" l="1"/>
  <c r="X24" i="1"/>
  <c r="Y24" i="1"/>
  <c r="W25" i="1"/>
  <c r="V25" i="1"/>
  <c r="O25" i="1"/>
  <c r="Q25" i="1"/>
  <c r="A25" i="1"/>
  <c r="B26" i="1"/>
  <c r="W26" i="1" l="1"/>
  <c r="V26" i="1"/>
  <c r="P25" i="1"/>
  <c r="X25" i="1" s="1"/>
  <c r="Q26" i="1"/>
  <c r="O26" i="1"/>
  <c r="A26" i="1"/>
  <c r="B27" i="1"/>
  <c r="W27" i="1" l="1"/>
  <c r="V27" i="1"/>
  <c r="Y25" i="1"/>
  <c r="P26" i="1"/>
  <c r="X26" i="1" s="1"/>
  <c r="O27" i="1"/>
  <c r="Q27" i="1"/>
  <c r="B28" i="1"/>
  <c r="A27" i="1"/>
  <c r="W28" i="1" l="1"/>
  <c r="V28" i="1"/>
  <c r="P27" i="1"/>
  <c r="Y27" i="1" s="1"/>
  <c r="Y26" i="1"/>
  <c r="O28" i="1"/>
  <c r="Q28" i="1"/>
  <c r="B29" i="1"/>
  <c r="A28" i="1"/>
  <c r="W29" i="1" l="1"/>
  <c r="V29" i="1"/>
  <c r="P28" i="1"/>
  <c r="X28" i="1" s="1"/>
  <c r="X27" i="1"/>
  <c r="Q29" i="1"/>
  <c r="O29" i="1"/>
  <c r="B30" i="1"/>
  <c r="A29" i="1"/>
  <c r="W30" i="1" l="1"/>
  <c r="V30" i="1"/>
  <c r="Y28" i="1"/>
  <c r="P29" i="1"/>
  <c r="X29" i="1" s="1"/>
  <c r="O30" i="1"/>
  <c r="Q30" i="1"/>
  <c r="A30" i="1"/>
  <c r="B31" i="1"/>
  <c r="P30" i="1" l="1"/>
  <c r="X30" i="1" s="1"/>
  <c r="Y30" i="1"/>
  <c r="W31" i="1"/>
  <c r="V31" i="1"/>
  <c r="Y29" i="1"/>
  <c r="O31" i="1"/>
  <c r="Q31" i="1"/>
  <c r="B32" i="1"/>
  <c r="A31" i="1"/>
  <c r="P31" i="1" l="1"/>
  <c r="X31" i="1" s="1"/>
  <c r="W32" i="1"/>
  <c r="V32" i="1"/>
  <c r="O32" i="1"/>
  <c r="Q32" i="1"/>
  <c r="B33" i="1"/>
  <c r="A32" i="1"/>
  <c r="Y31" i="1" l="1"/>
  <c r="P32" i="1"/>
  <c r="Y32" i="1" s="1"/>
  <c r="X32" i="1"/>
  <c r="W33" i="1"/>
  <c r="Z4" i="1" s="1"/>
  <c r="AD4" i="1" s="1"/>
  <c r="V33" i="1"/>
  <c r="O33" i="1"/>
  <c r="Q33" i="1"/>
  <c r="Q35" i="1" s="1"/>
  <c r="D4" i="13" s="1"/>
  <c r="A33" i="1"/>
  <c r="B3" i="2"/>
  <c r="AA4" i="1" l="1"/>
  <c r="AA12" i="1" s="1"/>
  <c r="AB4" i="1"/>
  <c r="AB12" i="1" s="1"/>
  <c r="P33" i="1"/>
  <c r="P35" i="1" s="1"/>
  <c r="C4" i="13" s="1"/>
  <c r="X33" i="1"/>
  <c r="X35" i="1" s="1"/>
  <c r="G4" i="13" s="1"/>
  <c r="Y33" i="1"/>
  <c r="Y35" i="1" s="1"/>
  <c r="H4" i="13" s="1"/>
  <c r="W3" i="2"/>
  <c r="V3" i="2"/>
  <c r="Z12" i="1"/>
  <c r="AC4" i="1"/>
  <c r="AC12" i="1" s="1"/>
  <c r="O3" i="2"/>
  <c r="Q3" i="2"/>
  <c r="A3" i="2"/>
  <c r="B4" i="2"/>
  <c r="W4" i="2" l="1"/>
  <c r="V4" i="2"/>
  <c r="Q4" i="2"/>
  <c r="O4" i="2"/>
  <c r="P4" i="2" s="1"/>
  <c r="P3" i="2"/>
  <c r="X3" i="2" s="1"/>
  <c r="Z5" i="1"/>
  <c r="A4" i="2"/>
  <c r="B5" i="2"/>
  <c r="AD5" i="1" l="1"/>
  <c r="Y3" i="2"/>
  <c r="W5" i="2"/>
  <c r="V5" i="2"/>
  <c r="Z13" i="1"/>
  <c r="AC5" i="1"/>
  <c r="AC13" i="1" s="1"/>
  <c r="AB5" i="1"/>
  <c r="AB13" i="1" s="1"/>
  <c r="AA5" i="1"/>
  <c r="AA13" i="1" s="1"/>
  <c r="O5" i="2"/>
  <c r="Q5" i="2"/>
  <c r="Z6" i="1"/>
  <c r="AD6" i="1" s="1"/>
  <c r="A5" i="2"/>
  <c r="B6" i="2"/>
  <c r="P5" i="2" l="1"/>
  <c r="X5" i="2" s="1"/>
  <c r="Y5" i="2"/>
  <c r="Z14" i="1"/>
  <c r="AC6" i="1"/>
  <c r="AC14" i="1" s="1"/>
  <c r="AB6" i="1"/>
  <c r="AA6" i="1"/>
  <c r="AA14" i="1" s="1"/>
  <c r="W6" i="2"/>
  <c r="V6" i="2"/>
  <c r="Q6" i="2"/>
  <c r="O6" i="2"/>
  <c r="Z7" i="1"/>
  <c r="A6" i="2"/>
  <c r="B7" i="2"/>
  <c r="AB14" i="1" l="1"/>
  <c r="AD7" i="1"/>
  <c r="W7" i="2"/>
  <c r="V7" i="2"/>
  <c r="AB7" i="1"/>
  <c r="AB15" i="1" s="1"/>
  <c r="Z15" i="1"/>
  <c r="AC7" i="1"/>
  <c r="AC15" i="1" s="1"/>
  <c r="AA7" i="1"/>
  <c r="AA15" i="1" s="1"/>
  <c r="Q7" i="2"/>
  <c r="O7" i="2"/>
  <c r="P6" i="2"/>
  <c r="Y6" i="2" s="1"/>
  <c r="Z8" i="1"/>
  <c r="A7" i="2"/>
  <c r="B8" i="2"/>
  <c r="P7" i="2" l="1"/>
  <c r="X7" i="2"/>
  <c r="Y7" i="2"/>
  <c r="X6" i="2"/>
  <c r="AD8" i="1"/>
  <c r="W8" i="2"/>
  <c r="V8" i="2"/>
  <c r="AA8" i="1"/>
  <c r="AA16" i="1" s="1"/>
  <c r="AB8" i="1"/>
  <c r="AB16" i="1" s="1"/>
  <c r="Z16" i="1"/>
  <c r="AC8" i="1"/>
  <c r="AC16" i="1" s="1"/>
  <c r="Q8" i="2"/>
  <c r="O8" i="2"/>
  <c r="Z9" i="1"/>
  <c r="A8" i="2"/>
  <c r="B9" i="2"/>
  <c r="Z17" i="1" l="1"/>
  <c r="AD9" i="1"/>
  <c r="AA9" i="1"/>
  <c r="AA17" i="1" s="1"/>
  <c r="AB9" i="1"/>
  <c r="AB17" i="1" s="1"/>
  <c r="AC9" i="1"/>
  <c r="AC17" i="1" s="1"/>
  <c r="W9" i="2"/>
  <c r="V9" i="2"/>
  <c r="P8" i="2"/>
  <c r="X8" i="2" s="1"/>
  <c r="Y8" i="2"/>
  <c r="Q9" i="2"/>
  <c r="O9" i="2"/>
  <c r="B10" i="2"/>
  <c r="A9" i="2"/>
  <c r="P9" i="2" l="1"/>
  <c r="Y9" i="2" s="1"/>
  <c r="X9" i="2"/>
  <c r="W10" i="2"/>
  <c r="V10" i="2"/>
  <c r="Q10" i="2"/>
  <c r="O10" i="2"/>
  <c r="P10" i="2" s="1"/>
  <c r="A10" i="2"/>
  <c r="B11" i="2"/>
  <c r="W11" i="2" l="1"/>
  <c r="V11" i="2"/>
  <c r="Q11" i="2"/>
  <c r="O11" i="2"/>
  <c r="P11" i="2" s="1"/>
  <c r="B12" i="2"/>
  <c r="A11" i="2"/>
  <c r="W12" i="2" l="1"/>
  <c r="V12" i="2"/>
  <c r="Q12" i="2"/>
  <c r="O12" i="2"/>
  <c r="B13" i="2"/>
  <c r="A12" i="2"/>
  <c r="P12" i="2" l="1"/>
  <c r="X12" i="2"/>
  <c r="Y12" i="2"/>
  <c r="W13" i="2"/>
  <c r="V13" i="2"/>
  <c r="Q13" i="2"/>
  <c r="O13" i="2"/>
  <c r="B14" i="2"/>
  <c r="A13" i="2"/>
  <c r="P13" i="2" l="1"/>
  <c r="X13" i="2"/>
  <c r="Y13" i="2"/>
  <c r="W14" i="2"/>
  <c r="V14" i="2"/>
  <c r="O14" i="2"/>
  <c r="Q14" i="2"/>
  <c r="B15" i="2"/>
  <c r="A14" i="2"/>
  <c r="P14" i="2" l="1"/>
  <c r="X14" i="2"/>
  <c r="Y14" i="2"/>
  <c r="W15" i="2"/>
  <c r="V15" i="2"/>
  <c r="O15" i="2"/>
  <c r="Q15" i="2"/>
  <c r="B16" i="2"/>
  <c r="A15" i="2"/>
  <c r="P15" i="2" l="1"/>
  <c r="X15" i="2"/>
  <c r="Y15" i="2"/>
  <c r="W16" i="2"/>
  <c r="V16" i="2"/>
  <c r="Q16" i="2"/>
  <c r="O16" i="2"/>
  <c r="B17" i="2"/>
  <c r="A16" i="2"/>
  <c r="P16" i="2" l="1"/>
  <c r="X16" i="2"/>
  <c r="Y16" i="2"/>
  <c r="W17" i="2"/>
  <c r="V17" i="2"/>
  <c r="Q17" i="2"/>
  <c r="O17" i="2"/>
  <c r="P17" i="2" s="1"/>
  <c r="A17" i="2"/>
  <c r="B18" i="2"/>
  <c r="W18" i="2" l="1"/>
  <c r="V18" i="2"/>
  <c r="Q18" i="2"/>
  <c r="O18" i="2"/>
  <c r="P18" i="2" s="1"/>
  <c r="B19" i="2"/>
  <c r="A18" i="2"/>
  <c r="W19" i="2" l="1"/>
  <c r="V19" i="2"/>
  <c r="Q19" i="2"/>
  <c r="O19" i="2"/>
  <c r="A19" i="2"/>
  <c r="B20" i="2"/>
  <c r="P19" i="2" l="1"/>
  <c r="Y19" i="2"/>
  <c r="X19" i="2"/>
  <c r="W20" i="2"/>
  <c r="V20" i="2"/>
  <c r="Q20" i="2"/>
  <c r="O20" i="2"/>
  <c r="B21" i="2"/>
  <c r="A20" i="2"/>
  <c r="P20" i="2" l="1"/>
  <c r="X20" i="2"/>
  <c r="Y20" i="2"/>
  <c r="W21" i="2"/>
  <c r="V21" i="2"/>
  <c r="O21" i="2"/>
  <c r="Q21" i="2"/>
  <c r="A21" i="2"/>
  <c r="B22" i="2"/>
  <c r="P21" i="2" l="1"/>
  <c r="X21" i="2"/>
  <c r="Y21" i="2"/>
  <c r="W22" i="2"/>
  <c r="V22" i="2"/>
  <c r="O22" i="2"/>
  <c r="Q22" i="2"/>
  <c r="B23" i="2"/>
  <c r="A22" i="2"/>
  <c r="P22" i="2" l="1"/>
  <c r="X22" i="2"/>
  <c r="Y22" i="2"/>
  <c r="W23" i="2"/>
  <c r="V23" i="2"/>
  <c r="Q23" i="2"/>
  <c r="O23" i="2"/>
  <c r="A23" i="2"/>
  <c r="B24" i="2"/>
  <c r="P23" i="2" l="1"/>
  <c r="Y23" i="2"/>
  <c r="X23" i="2"/>
  <c r="W24" i="2"/>
  <c r="V24" i="2"/>
  <c r="Q24" i="2"/>
  <c r="O24" i="2"/>
  <c r="P24" i="2" s="1"/>
  <c r="A24" i="2"/>
  <c r="B25" i="2"/>
  <c r="W25" i="2" l="1"/>
  <c r="V25" i="2"/>
  <c r="Q25" i="2"/>
  <c r="O25" i="2"/>
  <c r="P25" i="2" s="1"/>
  <c r="A25" i="2"/>
  <c r="B26" i="2"/>
  <c r="W26" i="2" l="1"/>
  <c r="V26" i="2"/>
  <c r="Q26" i="2"/>
  <c r="O26" i="2"/>
  <c r="B27" i="2"/>
  <c r="A26" i="2"/>
  <c r="P26" i="2" l="1"/>
  <c r="Y26" i="2"/>
  <c r="X26" i="2"/>
  <c r="W27" i="2"/>
  <c r="V27" i="2"/>
  <c r="Q27" i="2"/>
  <c r="O27" i="2"/>
  <c r="A27" i="2"/>
  <c r="B28" i="2"/>
  <c r="P27" i="2" l="1"/>
  <c r="X27" i="2"/>
  <c r="Y27" i="2"/>
  <c r="W28" i="2"/>
  <c r="V28" i="2"/>
  <c r="O28" i="2"/>
  <c r="Q28" i="2"/>
  <c r="A28" i="2"/>
  <c r="B29" i="2"/>
  <c r="P28" i="2" l="1"/>
  <c r="X28" i="2" s="1"/>
  <c r="Y28" i="2"/>
  <c r="W29" i="2"/>
  <c r="V29" i="2"/>
  <c r="O29" i="2"/>
  <c r="Q29" i="2"/>
  <c r="B30" i="2"/>
  <c r="A29" i="2"/>
  <c r="W31" i="2" l="1"/>
  <c r="B31" i="2"/>
  <c r="K31" i="2"/>
  <c r="K33" i="2" s="1"/>
  <c r="M31" i="2"/>
  <c r="M33" i="2" s="1"/>
  <c r="P29" i="2"/>
  <c r="Y29" i="2"/>
  <c r="X29" i="2"/>
  <c r="A31" i="2"/>
  <c r="V31" i="2"/>
  <c r="W30" i="2"/>
  <c r="V30" i="2"/>
  <c r="Q30" i="2"/>
  <c r="Q33" i="2" s="1"/>
  <c r="O30" i="2"/>
  <c r="A30" i="2"/>
  <c r="Z4" i="2" l="1"/>
  <c r="P30" i="2"/>
  <c r="P33" i="2" s="1"/>
  <c r="O33" i="2"/>
  <c r="B5" i="13" s="1"/>
  <c r="B3" i="12"/>
  <c r="D5" i="13"/>
  <c r="Y30" i="2" l="1"/>
  <c r="Y33" i="2" s="1"/>
  <c r="H5" i="13" s="1"/>
  <c r="X30" i="2"/>
  <c r="X33" i="2" s="1"/>
  <c r="G5" i="13" s="1"/>
  <c r="W3" i="12"/>
  <c r="V3" i="12"/>
  <c r="O3" i="12"/>
  <c r="A3" i="12"/>
  <c r="B4" i="12"/>
  <c r="Q3" i="12"/>
  <c r="C5" i="13"/>
  <c r="E5" i="13" s="1"/>
  <c r="AB4" i="2" l="1"/>
  <c r="AB12" i="2" s="1"/>
  <c r="AA4" i="2"/>
  <c r="AA12" i="2" s="1"/>
  <c r="AD4" i="2"/>
  <c r="W4" i="12"/>
  <c r="V4" i="12"/>
  <c r="Z12" i="2"/>
  <c r="AC4" i="2"/>
  <c r="AC12" i="2" s="1"/>
  <c r="Z5" i="2"/>
  <c r="P3" i="12"/>
  <c r="Y3" i="12"/>
  <c r="X3" i="12"/>
  <c r="Q4" i="12"/>
  <c r="B5" i="12"/>
  <c r="O5" i="12" s="1"/>
  <c r="A4" i="12"/>
  <c r="O4" i="12"/>
  <c r="AD5" i="2" l="1"/>
  <c r="Q5" i="12"/>
  <c r="W5" i="12"/>
  <c r="V5" i="12"/>
  <c r="Z13" i="2"/>
  <c r="AC5" i="2"/>
  <c r="AC13" i="2" s="1"/>
  <c r="AB5" i="2"/>
  <c r="AB13" i="2" s="1"/>
  <c r="AA5" i="2"/>
  <c r="AA13" i="2" s="1"/>
  <c r="Z6" i="2"/>
  <c r="B6" i="12"/>
  <c r="Q6" i="12" s="1"/>
  <c r="A5" i="12"/>
  <c r="P5" i="12"/>
  <c r="X5" i="12" s="1"/>
  <c r="P4" i="12"/>
  <c r="Y4" i="12" s="1"/>
  <c r="A6" i="12" l="1"/>
  <c r="B7" i="12"/>
  <c r="O6" i="12"/>
  <c r="P6" i="12" s="1"/>
  <c r="Y6" i="12" s="1"/>
  <c r="AD6" i="2"/>
  <c r="W7" i="12"/>
  <c r="V7" i="12"/>
  <c r="W6" i="12"/>
  <c r="V6" i="12"/>
  <c r="Z7" i="2"/>
  <c r="AD7" i="2" s="1"/>
  <c r="AA6" i="2"/>
  <c r="AA14" i="2" s="1"/>
  <c r="AC6" i="2"/>
  <c r="AC14" i="2" s="1"/>
  <c r="Z14" i="2"/>
  <c r="AB6" i="2"/>
  <c r="AB14" i="2" s="1"/>
  <c r="Y5" i="12"/>
  <c r="X4" i="12"/>
  <c r="O7" i="12"/>
  <c r="Q7" i="12"/>
  <c r="B8" i="12"/>
  <c r="A7" i="12"/>
  <c r="X6" i="12" l="1"/>
  <c r="W8" i="12"/>
  <c r="V8" i="12"/>
  <c r="Z8" i="2"/>
  <c r="Z15" i="2"/>
  <c r="AC7" i="2"/>
  <c r="AC15" i="2" s="1"/>
  <c r="AA7" i="2"/>
  <c r="AA15" i="2" s="1"/>
  <c r="AB7" i="2"/>
  <c r="AB15" i="2" s="1"/>
  <c r="P7" i="12"/>
  <c r="X7" i="12" s="1"/>
  <c r="O8" i="12"/>
  <c r="Q8" i="12"/>
  <c r="B9" i="12"/>
  <c r="A8" i="12"/>
  <c r="Y7" i="12" l="1"/>
  <c r="AD8" i="2"/>
  <c r="W9" i="12"/>
  <c r="V9" i="12"/>
  <c r="Z9" i="2"/>
  <c r="Z16" i="2"/>
  <c r="AC8" i="2"/>
  <c r="AC16" i="2" s="1"/>
  <c r="AA8" i="2"/>
  <c r="AA16" i="2" s="1"/>
  <c r="AB8" i="2"/>
  <c r="AB16" i="2" s="1"/>
  <c r="P8" i="12"/>
  <c r="X8" i="12" s="1"/>
  <c r="Q9" i="12"/>
  <c r="O9" i="12"/>
  <c r="A9" i="12"/>
  <c r="B10" i="12"/>
  <c r="AD9" i="2" l="1"/>
  <c r="W10" i="12"/>
  <c r="V10" i="12"/>
  <c r="AA9" i="2"/>
  <c r="AA17" i="2" s="1"/>
  <c r="Z17" i="2"/>
  <c r="AC9" i="2"/>
  <c r="AC17" i="2" s="1"/>
  <c r="AB9" i="2"/>
  <c r="AB17" i="2" s="1"/>
  <c r="P9" i="12"/>
  <c r="X9" i="12" s="1"/>
  <c r="Y9" i="12"/>
  <c r="Y8" i="12"/>
  <c r="Q10" i="12"/>
  <c r="O10" i="12"/>
  <c r="B11" i="12"/>
  <c r="A10" i="12"/>
  <c r="W11" i="12" l="1"/>
  <c r="V11" i="12"/>
  <c r="P10" i="12"/>
  <c r="X10" i="12" s="1"/>
  <c r="O11" i="12"/>
  <c r="Q11" i="12"/>
  <c r="B12" i="12"/>
  <c r="A11" i="12"/>
  <c r="W12" i="12" l="1"/>
  <c r="V12" i="12"/>
  <c r="P11" i="12"/>
  <c r="Y11" i="12" s="1"/>
  <c r="Y10" i="12"/>
  <c r="O12" i="12"/>
  <c r="Q12" i="12"/>
  <c r="A12" i="12"/>
  <c r="B13" i="12"/>
  <c r="W13" i="12" l="1"/>
  <c r="V13" i="12"/>
  <c r="X11" i="12"/>
  <c r="P12" i="12"/>
  <c r="X12" i="12" s="1"/>
  <c r="O13" i="12"/>
  <c r="Q13" i="12"/>
  <c r="B14" i="12"/>
  <c r="A13" i="12"/>
  <c r="P13" i="12" l="1"/>
  <c r="X13" i="12"/>
  <c r="Y13" i="12"/>
  <c r="W14" i="12"/>
  <c r="V14" i="12"/>
  <c r="Y12" i="12"/>
  <c r="Q14" i="12"/>
  <c r="O14" i="12"/>
  <c r="A14" i="12"/>
  <c r="B15" i="12"/>
  <c r="P14" i="12" l="1"/>
  <c r="X14" i="12" s="1"/>
  <c r="Y14" i="12"/>
  <c r="W15" i="12"/>
  <c r="V15" i="12"/>
  <c r="Q15" i="12"/>
  <c r="O15" i="12"/>
  <c r="A15" i="12"/>
  <c r="B16" i="12"/>
  <c r="W16" i="12" l="1"/>
  <c r="V16" i="12"/>
  <c r="P15" i="12"/>
  <c r="Y15" i="12" s="1"/>
  <c r="O16" i="12"/>
  <c r="Q16" i="12"/>
  <c r="A16" i="12"/>
  <c r="B17" i="12"/>
  <c r="W17" i="12" l="1"/>
  <c r="V17" i="12"/>
  <c r="X15" i="12"/>
  <c r="P16" i="12"/>
  <c r="X16" i="12" s="1"/>
  <c r="Q17" i="12"/>
  <c r="O17" i="12"/>
  <c r="A17" i="12"/>
  <c r="B18" i="12"/>
  <c r="W18" i="12" l="1"/>
  <c r="V18" i="12"/>
  <c r="Y16" i="12"/>
  <c r="P17" i="12"/>
  <c r="X17" i="12" s="1"/>
  <c r="Q18" i="12"/>
  <c r="O18" i="12"/>
  <c r="A18" i="12"/>
  <c r="B19" i="12"/>
  <c r="W19" i="12" l="1"/>
  <c r="V19" i="12"/>
  <c r="P18" i="12"/>
  <c r="X18" i="12" s="1"/>
  <c r="Y17" i="12"/>
  <c r="O19" i="12"/>
  <c r="Q19" i="12"/>
  <c r="A19" i="12"/>
  <c r="B20" i="12"/>
  <c r="W20" i="12" l="1"/>
  <c r="V20" i="12"/>
  <c r="Y18" i="12"/>
  <c r="P19" i="12"/>
  <c r="X19" i="12" s="1"/>
  <c r="Y19" i="12"/>
  <c r="O20" i="12"/>
  <c r="Q20" i="12"/>
  <c r="A20" i="12"/>
  <c r="B21" i="12"/>
  <c r="P20" i="12" l="1"/>
  <c r="X20" i="12" s="1"/>
  <c r="Y20" i="12"/>
  <c r="W21" i="12"/>
  <c r="V21" i="12"/>
  <c r="O21" i="12"/>
  <c r="Q21" i="12"/>
  <c r="B22" i="12"/>
  <c r="A21" i="12"/>
  <c r="P21" i="12" l="1"/>
  <c r="X21" i="12"/>
  <c r="Y21" i="12"/>
  <c r="W22" i="12"/>
  <c r="V22" i="12"/>
  <c r="Q22" i="12"/>
  <c r="O22" i="12"/>
  <c r="A22" i="12"/>
  <c r="B23" i="12"/>
  <c r="W23" i="12" l="1"/>
  <c r="V23" i="12"/>
  <c r="P22" i="12"/>
  <c r="X22" i="12" s="1"/>
  <c r="Q23" i="12"/>
  <c r="O23" i="12"/>
  <c r="B24" i="12"/>
  <c r="A23" i="12"/>
  <c r="W24" i="12" l="1"/>
  <c r="V24" i="12"/>
  <c r="Y22" i="12"/>
  <c r="P23" i="12"/>
  <c r="X23" i="12" s="1"/>
  <c r="Y23" i="12"/>
  <c r="O24" i="12"/>
  <c r="Q24" i="12"/>
  <c r="A24" i="12"/>
  <c r="B25" i="12"/>
  <c r="W25" i="12" l="1"/>
  <c r="V25" i="12"/>
  <c r="P24" i="12"/>
  <c r="Y24" i="12" s="1"/>
  <c r="Q25" i="12"/>
  <c r="O25" i="12"/>
  <c r="B26" i="12"/>
  <c r="A25" i="12"/>
  <c r="W26" i="12" l="1"/>
  <c r="V26" i="12"/>
  <c r="X24" i="12"/>
  <c r="P25" i="12"/>
  <c r="X25" i="12" s="1"/>
  <c r="Y25" i="12"/>
  <c r="Q26" i="12"/>
  <c r="O26" i="12"/>
  <c r="B27" i="12"/>
  <c r="A26" i="12"/>
  <c r="W27" i="12" l="1"/>
  <c r="V27" i="12"/>
  <c r="P26" i="12"/>
  <c r="X26" i="12" s="1"/>
  <c r="O27" i="12"/>
  <c r="Q27" i="12"/>
  <c r="A27" i="12"/>
  <c r="B28" i="12"/>
  <c r="P27" i="12" l="1"/>
  <c r="X27" i="12"/>
  <c r="Y27" i="12"/>
  <c r="W28" i="12"/>
  <c r="V28" i="12"/>
  <c r="Y26" i="12"/>
  <c r="Q28" i="12"/>
  <c r="O28" i="12"/>
  <c r="B29" i="12"/>
  <c r="A28" i="12"/>
  <c r="P28" i="12" l="1"/>
  <c r="X28" i="12"/>
  <c r="Y28" i="12"/>
  <c r="W29" i="12"/>
  <c r="V29" i="12"/>
  <c r="O29" i="12"/>
  <c r="Q29" i="12"/>
  <c r="A29" i="12"/>
  <c r="B30" i="12"/>
  <c r="W30" i="12" l="1"/>
  <c r="V30" i="12"/>
  <c r="P29" i="12"/>
  <c r="Y29" i="12" s="1"/>
  <c r="Q30" i="12"/>
  <c r="O30" i="12"/>
  <c r="B31" i="12"/>
  <c r="A30" i="12"/>
  <c r="W31" i="12" l="1"/>
  <c r="V31" i="12"/>
  <c r="X29" i="12"/>
  <c r="P30" i="12"/>
  <c r="Y30" i="12" s="1"/>
  <c r="Q31" i="12"/>
  <c r="O31" i="12"/>
  <c r="B32" i="12"/>
  <c r="A31" i="12"/>
  <c r="X30" i="12" l="1"/>
  <c r="W32" i="12"/>
  <c r="V32" i="12"/>
  <c r="P31" i="12"/>
  <c r="X31" i="12" s="1"/>
  <c r="O32" i="12"/>
  <c r="P32" i="12" s="1"/>
  <c r="Q32" i="12"/>
  <c r="B33" i="12"/>
  <c r="A32" i="12"/>
  <c r="W33" i="12" l="1"/>
  <c r="V33" i="12"/>
  <c r="Y31" i="12"/>
  <c r="Q33" i="12"/>
  <c r="Q35" i="12" s="1"/>
  <c r="D6" i="13" s="1"/>
  <c r="O33" i="12"/>
  <c r="B3" i="11"/>
  <c r="A33" i="12"/>
  <c r="P33" i="12" l="1"/>
  <c r="X33" i="12"/>
  <c r="X35" i="12" s="1"/>
  <c r="G6" i="13" s="1"/>
  <c r="Y33" i="12"/>
  <c r="Y35" i="12" s="1"/>
  <c r="H6" i="13" s="1"/>
  <c r="W3" i="11"/>
  <c r="V3" i="11"/>
  <c r="O35" i="12"/>
  <c r="B6" i="13" s="1"/>
  <c r="Z4" i="12"/>
  <c r="Q3" i="11"/>
  <c r="O3" i="11"/>
  <c r="B4" i="11"/>
  <c r="A3" i="11"/>
  <c r="P35" i="12"/>
  <c r="P3" i="11" l="1"/>
  <c r="Y3" i="11"/>
  <c r="X3" i="11"/>
  <c r="AA4" i="12"/>
  <c r="AA12" i="12" s="1"/>
  <c r="AD4" i="12"/>
  <c r="AC4" i="12"/>
  <c r="AC12" i="12" s="1"/>
  <c r="Z12" i="12"/>
  <c r="W4" i="11"/>
  <c r="V4" i="11"/>
  <c r="AB4" i="12"/>
  <c r="AB12" i="12" s="1"/>
  <c r="Z5" i="12"/>
  <c r="O4" i="11"/>
  <c r="Q4" i="11"/>
  <c r="B5" i="11"/>
  <c r="A4" i="11"/>
  <c r="C6" i="13"/>
  <c r="E6" i="13" s="1"/>
  <c r="P4" i="11" l="1"/>
  <c r="Y4" i="11" s="1"/>
  <c r="X4" i="11"/>
  <c r="AA5" i="12"/>
  <c r="AA13" i="12" s="1"/>
  <c r="AD5" i="12"/>
  <c r="AB5" i="12"/>
  <c r="AB13" i="12" s="1"/>
  <c r="Z13" i="12"/>
  <c r="AC5" i="12"/>
  <c r="AC13" i="12" s="1"/>
  <c r="W5" i="11"/>
  <c r="V5" i="11"/>
  <c r="Z6" i="12"/>
  <c r="Q5" i="11"/>
  <c r="O5" i="11"/>
  <c r="A5" i="11"/>
  <c r="B6" i="11"/>
  <c r="P5" i="11" l="1"/>
  <c r="X5" i="11"/>
  <c r="Y5" i="11"/>
  <c r="AA6" i="12"/>
  <c r="AA14" i="12" s="1"/>
  <c r="AD6" i="12"/>
  <c r="AC6" i="12"/>
  <c r="AC14" i="12" s="1"/>
  <c r="Z14" i="12"/>
  <c r="W6" i="11"/>
  <c r="V6" i="11"/>
  <c r="AB6" i="12"/>
  <c r="AB14" i="12" s="1"/>
  <c r="Z7" i="12"/>
  <c r="Q6" i="11"/>
  <c r="O6" i="11"/>
  <c r="B7" i="11"/>
  <c r="A6" i="11"/>
  <c r="P6" i="11" l="1"/>
  <c r="X6" i="11"/>
  <c r="Y6" i="11"/>
  <c r="AA7" i="12"/>
  <c r="AA15" i="12" s="1"/>
  <c r="AD7" i="12"/>
  <c r="W7" i="11"/>
  <c r="V7" i="11"/>
  <c r="AC7" i="12"/>
  <c r="AC15" i="12" s="1"/>
  <c r="Z15" i="12"/>
  <c r="AB7" i="12"/>
  <c r="AB15" i="12" s="1"/>
  <c r="Z8" i="12"/>
  <c r="O7" i="11"/>
  <c r="P7" i="11" s="1"/>
  <c r="Q7" i="11"/>
  <c r="A7" i="11"/>
  <c r="B8" i="11"/>
  <c r="AA8" i="12" l="1"/>
  <c r="AA16" i="12" s="1"/>
  <c r="AD8" i="12"/>
  <c r="W8" i="11"/>
  <c r="V8" i="11"/>
  <c r="Z16" i="12"/>
  <c r="AC8" i="12"/>
  <c r="AC16" i="12" s="1"/>
  <c r="AB8" i="12"/>
  <c r="AB16" i="12" s="1"/>
  <c r="Z9" i="12"/>
  <c r="Q8" i="11"/>
  <c r="O8" i="11"/>
  <c r="P8" i="11" s="1"/>
  <c r="A8" i="11"/>
  <c r="B9" i="11"/>
  <c r="AA9" i="12" l="1"/>
  <c r="AA17" i="12" s="1"/>
  <c r="AD9" i="12"/>
  <c r="AC9" i="12"/>
  <c r="AC17" i="12" s="1"/>
  <c r="Z17" i="12"/>
  <c r="W9" i="11"/>
  <c r="V9" i="11"/>
  <c r="AB9" i="12"/>
  <c r="AB17" i="12" s="1"/>
  <c r="Q9" i="11"/>
  <c r="O9" i="11"/>
  <c r="B10" i="11"/>
  <c r="A9" i="11"/>
  <c r="P9" i="11" l="1"/>
  <c r="X9" i="11"/>
  <c r="Y9" i="11"/>
  <c r="W10" i="11"/>
  <c r="V10" i="11"/>
  <c r="O10" i="11"/>
  <c r="Q10" i="11"/>
  <c r="B11" i="11"/>
  <c r="A10" i="11"/>
  <c r="P10" i="11" l="1"/>
  <c r="X10" i="11" s="1"/>
  <c r="Y10" i="11"/>
  <c r="W11" i="11"/>
  <c r="V11" i="11"/>
  <c r="O11" i="11"/>
  <c r="Q11" i="11"/>
  <c r="A11" i="11"/>
  <c r="B12" i="11"/>
  <c r="P11" i="11" l="1"/>
  <c r="X11" i="11" s="1"/>
  <c r="Y11" i="11"/>
  <c r="W12" i="11"/>
  <c r="V12" i="11"/>
  <c r="Q12" i="11"/>
  <c r="O12" i="11"/>
  <c r="A12" i="11"/>
  <c r="B13" i="11"/>
  <c r="P12" i="11" l="1"/>
  <c r="X12" i="11"/>
  <c r="Y12" i="11"/>
  <c r="W13" i="11"/>
  <c r="V13" i="11"/>
  <c r="Q13" i="11"/>
  <c r="O13" i="11"/>
  <c r="A13" i="11"/>
  <c r="B14" i="11"/>
  <c r="P13" i="11" l="1"/>
  <c r="X13" i="11" s="1"/>
  <c r="W14" i="11"/>
  <c r="V14" i="11"/>
  <c r="Q14" i="11"/>
  <c r="O14" i="11"/>
  <c r="P14" i="11" s="1"/>
  <c r="A14" i="11"/>
  <c r="B15" i="11"/>
  <c r="Y13" i="11" l="1"/>
  <c r="W15" i="11"/>
  <c r="V15" i="11"/>
  <c r="O15" i="11"/>
  <c r="P15" i="11" s="1"/>
  <c r="Q15" i="11"/>
  <c r="B16" i="11"/>
  <c r="A15" i="11"/>
  <c r="W16" i="11" l="1"/>
  <c r="V16" i="11"/>
  <c r="Q16" i="11"/>
  <c r="O16" i="11"/>
  <c r="A16" i="11"/>
  <c r="B17" i="11"/>
  <c r="P16" i="11" l="1"/>
  <c r="X16" i="11"/>
  <c r="Y16" i="11"/>
  <c r="W17" i="11"/>
  <c r="V17" i="11"/>
  <c r="O17" i="11"/>
  <c r="Q17" i="11"/>
  <c r="A17" i="11"/>
  <c r="B18" i="11"/>
  <c r="P17" i="11" l="1"/>
  <c r="X17" i="11" s="1"/>
  <c r="Y17" i="11"/>
  <c r="W18" i="11"/>
  <c r="V18" i="11"/>
  <c r="O18" i="11"/>
  <c r="Q18" i="11"/>
  <c r="A18" i="11"/>
  <c r="B19" i="11"/>
  <c r="P18" i="11" l="1"/>
  <c r="X18" i="11" s="1"/>
  <c r="Y18" i="11"/>
  <c r="W19" i="11"/>
  <c r="V19" i="11"/>
  <c r="Q19" i="11"/>
  <c r="O19" i="11"/>
  <c r="A19" i="11"/>
  <c r="B20" i="11"/>
  <c r="P19" i="11" l="1"/>
  <c r="X19" i="11" s="1"/>
  <c r="Y19" i="11"/>
  <c r="W20" i="11"/>
  <c r="V20" i="11"/>
  <c r="O20" i="11"/>
  <c r="Q20" i="11"/>
  <c r="A20" i="11"/>
  <c r="B21" i="11"/>
  <c r="P20" i="11" l="1"/>
  <c r="X20" i="11"/>
  <c r="Y20" i="11"/>
  <c r="W21" i="11"/>
  <c r="V21" i="11"/>
  <c r="Q21" i="11"/>
  <c r="O21" i="11"/>
  <c r="P21" i="11" s="1"/>
  <c r="B22" i="11"/>
  <c r="A21" i="11"/>
  <c r="W22" i="11" l="1"/>
  <c r="V22" i="11"/>
  <c r="Q22" i="11"/>
  <c r="O22" i="11"/>
  <c r="P22" i="11" s="1"/>
  <c r="B23" i="11"/>
  <c r="A22" i="11"/>
  <c r="W23" i="11" l="1"/>
  <c r="V23" i="11"/>
  <c r="O23" i="11"/>
  <c r="Q23" i="11"/>
  <c r="A23" i="11"/>
  <c r="B24" i="11"/>
  <c r="P23" i="11" l="1"/>
  <c r="X23" i="11"/>
  <c r="Y23" i="11"/>
  <c r="W24" i="11"/>
  <c r="V24" i="11"/>
  <c r="Q24" i="11"/>
  <c r="O24" i="11"/>
  <c r="A24" i="11"/>
  <c r="B25" i="11"/>
  <c r="P24" i="11" l="1"/>
  <c r="Y24" i="11" s="1"/>
  <c r="X24" i="11"/>
  <c r="W25" i="11"/>
  <c r="V25" i="11"/>
  <c r="O25" i="11"/>
  <c r="Q25" i="11"/>
  <c r="B26" i="11"/>
  <c r="A25" i="11"/>
  <c r="P25" i="11" l="1"/>
  <c r="Y25" i="11" s="1"/>
  <c r="W26" i="11"/>
  <c r="V26" i="11"/>
  <c r="Q26" i="11"/>
  <c r="O26" i="11"/>
  <c r="A26" i="11"/>
  <c r="B27" i="11"/>
  <c r="P26" i="11" l="1"/>
  <c r="Y26" i="11" s="1"/>
  <c r="X26" i="11"/>
  <c r="X25" i="11"/>
  <c r="W27" i="11"/>
  <c r="V27" i="11"/>
  <c r="Q27" i="11"/>
  <c r="O27" i="11"/>
  <c r="A27" i="11"/>
  <c r="B28" i="11"/>
  <c r="P27" i="11" l="1"/>
  <c r="X27" i="11" s="1"/>
  <c r="Y27" i="11"/>
  <c r="W28" i="11"/>
  <c r="V28" i="11"/>
  <c r="Q28" i="11"/>
  <c r="O28" i="11"/>
  <c r="P28" i="11" s="1"/>
  <c r="B29" i="11"/>
  <c r="A28" i="11"/>
  <c r="W29" i="11" l="1"/>
  <c r="V29" i="11"/>
  <c r="Q29" i="11"/>
  <c r="O29" i="11"/>
  <c r="P29" i="11" s="1"/>
  <c r="B30" i="11"/>
  <c r="A29" i="11"/>
  <c r="W30" i="11" l="1"/>
  <c r="V30" i="11"/>
  <c r="Q30" i="11"/>
  <c r="O30" i="11"/>
  <c r="A30" i="11"/>
  <c r="B31" i="11"/>
  <c r="P30" i="11" l="1"/>
  <c r="X30" i="11"/>
  <c r="Y30" i="11"/>
  <c r="W31" i="11"/>
  <c r="V31" i="11"/>
  <c r="Q31" i="11"/>
  <c r="O31" i="11"/>
  <c r="A31" i="11"/>
  <c r="B32" i="11"/>
  <c r="P31" i="11" l="1"/>
  <c r="Y31" i="11"/>
  <c r="X31" i="11"/>
  <c r="W32" i="11"/>
  <c r="V32" i="11"/>
  <c r="O32" i="11"/>
  <c r="Q32" i="11"/>
  <c r="Q34" i="11" s="1"/>
  <c r="D7" i="13" s="1"/>
  <c r="B3" i="17"/>
  <c r="A32" i="11"/>
  <c r="O34" i="11" l="1"/>
  <c r="B7" i="13" s="1"/>
  <c r="W3" i="17"/>
  <c r="V3" i="17"/>
  <c r="P32" i="11"/>
  <c r="P34" i="11" s="1"/>
  <c r="Q3" i="17"/>
  <c r="O3" i="17"/>
  <c r="Z4" i="11"/>
  <c r="A3" i="17"/>
  <c r="B4" i="17"/>
  <c r="P3" i="17" l="1"/>
  <c r="X3" i="17"/>
  <c r="Y3" i="17"/>
  <c r="Y32" i="11"/>
  <c r="Y34" i="11" s="1"/>
  <c r="H7" i="13" s="1"/>
  <c r="X32" i="11"/>
  <c r="X34" i="11" s="1"/>
  <c r="G7" i="13" s="1"/>
  <c r="AC4" i="11"/>
  <c r="AC12" i="11" s="1"/>
  <c r="AB4" i="11"/>
  <c r="AB12" i="11" s="1"/>
  <c r="AA4" i="11"/>
  <c r="AA12" i="11" s="1"/>
  <c r="AD4" i="11"/>
  <c r="Z12" i="11"/>
  <c r="W4" i="17"/>
  <c r="V4" i="17"/>
  <c r="O4" i="17"/>
  <c r="Q4" i="17"/>
  <c r="Z5" i="11"/>
  <c r="A4" i="17"/>
  <c r="B5" i="17"/>
  <c r="C7" i="13"/>
  <c r="E7" i="13" s="1"/>
  <c r="AA5" i="11" l="1"/>
  <c r="AA13" i="11" s="1"/>
  <c r="AB5" i="11"/>
  <c r="AB13" i="11" s="1"/>
  <c r="AC5" i="11"/>
  <c r="AC13" i="11" s="1"/>
  <c r="AD5" i="11"/>
  <c r="W5" i="17"/>
  <c r="V5" i="17"/>
  <c r="Z13" i="11"/>
  <c r="P4" i="17"/>
  <c r="Y4" i="17" s="1"/>
  <c r="Q5" i="17"/>
  <c r="O5" i="17"/>
  <c r="P5" i="17" s="1"/>
  <c r="Z6" i="11"/>
  <c r="A5" i="17"/>
  <c r="B6" i="17"/>
  <c r="X4" i="17" l="1"/>
  <c r="AA6" i="11"/>
  <c r="AA14" i="11" s="1"/>
  <c r="AB6" i="11"/>
  <c r="AB14" i="11" s="1"/>
  <c r="AC6" i="11"/>
  <c r="AC14" i="11" s="1"/>
  <c r="AD6" i="11"/>
  <c r="Z14" i="11"/>
  <c r="W6" i="17"/>
  <c r="V6" i="17"/>
  <c r="Q6" i="17"/>
  <c r="O6" i="17"/>
  <c r="P6" i="17" s="1"/>
  <c r="Z7" i="11"/>
  <c r="B7" i="17"/>
  <c r="A6" i="17"/>
  <c r="AC7" i="11" l="1"/>
  <c r="AC15" i="11" s="1"/>
  <c r="AA7" i="11"/>
  <c r="AA15" i="11" s="1"/>
  <c r="AB7" i="11"/>
  <c r="AB15" i="11" s="1"/>
  <c r="AD7" i="11"/>
  <c r="W7" i="17"/>
  <c r="V7" i="17"/>
  <c r="Z15" i="11"/>
  <c r="Q7" i="17"/>
  <c r="O7" i="17"/>
  <c r="Z8" i="11"/>
  <c r="B8" i="17"/>
  <c r="A7" i="17"/>
  <c r="P7" i="17" l="1"/>
  <c r="Y7" i="17"/>
  <c r="X7" i="17"/>
  <c r="AB8" i="11"/>
  <c r="AB16" i="11" s="1"/>
  <c r="AC8" i="11"/>
  <c r="AC16" i="11" s="1"/>
  <c r="AA8" i="11"/>
  <c r="AA16" i="11" s="1"/>
  <c r="AD8" i="11"/>
  <c r="W8" i="17"/>
  <c r="V8" i="17"/>
  <c r="Z16" i="11"/>
  <c r="Q8" i="17"/>
  <c r="O8" i="17"/>
  <c r="Z9" i="11"/>
  <c r="B9" i="17"/>
  <c r="A8" i="17"/>
  <c r="P8" i="17" l="1"/>
  <c r="Y8" i="17"/>
  <c r="X8" i="17"/>
  <c r="AA9" i="11"/>
  <c r="AB9" i="11"/>
  <c r="AB17" i="11" s="1"/>
  <c r="AC9" i="11"/>
  <c r="AC17" i="11" s="1"/>
  <c r="AD9" i="11"/>
  <c r="Z17" i="11"/>
  <c r="W9" i="17"/>
  <c r="V9" i="17"/>
  <c r="AA17" i="11"/>
  <c r="O9" i="17"/>
  <c r="Q9" i="17"/>
  <c r="A9" i="17"/>
  <c r="B10" i="17"/>
  <c r="P9" i="17" l="1"/>
  <c r="X9" i="17" s="1"/>
  <c r="W10" i="17"/>
  <c r="V10" i="17"/>
  <c r="Q10" i="17"/>
  <c r="O10" i="17"/>
  <c r="B11" i="17"/>
  <c r="A10" i="17"/>
  <c r="P10" i="17" l="1"/>
  <c r="X10" i="17" s="1"/>
  <c r="Y10" i="17"/>
  <c r="Y9" i="17"/>
  <c r="W11" i="17"/>
  <c r="V11" i="17"/>
  <c r="O11" i="17"/>
  <c r="Q11" i="17"/>
  <c r="A11" i="17"/>
  <c r="B12" i="17"/>
  <c r="P11" i="17" l="1"/>
  <c r="X11" i="17"/>
  <c r="Y11" i="17"/>
  <c r="W12" i="17"/>
  <c r="V12" i="17"/>
  <c r="O12" i="17"/>
  <c r="P12" i="17" s="1"/>
  <c r="Q12" i="17"/>
  <c r="A12" i="17"/>
  <c r="B13" i="17"/>
  <c r="W13" i="17" l="1"/>
  <c r="V13" i="17"/>
  <c r="O13" i="17"/>
  <c r="P13" i="17" s="1"/>
  <c r="Q13" i="17"/>
  <c r="A13" i="17"/>
  <c r="B14" i="17"/>
  <c r="W14" i="17" l="1"/>
  <c r="V14" i="17"/>
  <c r="Q14" i="17"/>
  <c r="O14" i="17"/>
  <c r="A14" i="17"/>
  <c r="B15" i="17"/>
  <c r="P14" i="17" l="1"/>
  <c r="Y14" i="17"/>
  <c r="X14" i="17"/>
  <c r="W15" i="17"/>
  <c r="V15" i="17"/>
  <c r="O15" i="17"/>
  <c r="Q15" i="17"/>
  <c r="B16" i="17"/>
  <c r="A15" i="17"/>
  <c r="P15" i="17" l="1"/>
  <c r="Y15" i="17" s="1"/>
  <c r="X15" i="17"/>
  <c r="W16" i="17"/>
  <c r="V16" i="17"/>
  <c r="O16" i="17"/>
  <c r="Q16" i="17"/>
  <c r="A16" i="17"/>
  <c r="B17" i="17"/>
  <c r="P16" i="17" l="1"/>
  <c r="Y16" i="17" s="1"/>
  <c r="W17" i="17"/>
  <c r="V17" i="17"/>
  <c r="O17" i="17"/>
  <c r="Q17" i="17"/>
  <c r="B18" i="17"/>
  <c r="A17" i="17"/>
  <c r="X16" i="17" l="1"/>
  <c r="P17" i="17"/>
  <c r="X17" i="17" s="1"/>
  <c r="Y17" i="17"/>
  <c r="W18" i="17"/>
  <c r="V18" i="17"/>
  <c r="Q18" i="17"/>
  <c r="O18" i="17"/>
  <c r="A18" i="17"/>
  <c r="B19" i="17"/>
  <c r="P18" i="17" l="1"/>
  <c r="X18" i="17"/>
  <c r="Y18" i="17"/>
  <c r="W19" i="17"/>
  <c r="V19" i="17"/>
  <c r="O19" i="17"/>
  <c r="P19" i="17" s="1"/>
  <c r="Q19" i="17"/>
  <c r="A19" i="17"/>
  <c r="B20" i="17"/>
  <c r="W20" i="17" l="1"/>
  <c r="V20" i="17"/>
  <c r="O20" i="17"/>
  <c r="P20" i="17" s="1"/>
  <c r="Q20" i="17"/>
  <c r="A20" i="17"/>
  <c r="B21" i="17"/>
  <c r="W21" i="17" l="1"/>
  <c r="V21" i="17"/>
  <c r="O21" i="17"/>
  <c r="Q21" i="17"/>
  <c r="B22" i="17"/>
  <c r="A21" i="17"/>
  <c r="P21" i="17" l="1"/>
  <c r="Y21" i="17"/>
  <c r="X21" i="17"/>
  <c r="W22" i="17"/>
  <c r="V22" i="17"/>
  <c r="O22" i="17"/>
  <c r="Q22" i="17"/>
  <c r="B23" i="17"/>
  <c r="A22" i="17"/>
  <c r="P22" i="17" l="1"/>
  <c r="Y22" i="17" s="1"/>
  <c r="X22" i="17"/>
  <c r="W23" i="17"/>
  <c r="V23" i="17"/>
  <c r="Q23" i="17"/>
  <c r="O23" i="17"/>
  <c r="A23" i="17"/>
  <c r="B24" i="17"/>
  <c r="P23" i="17" l="1"/>
  <c r="X23" i="17" s="1"/>
  <c r="Y23" i="17"/>
  <c r="W24" i="17"/>
  <c r="V24" i="17"/>
  <c r="Q24" i="17"/>
  <c r="O24" i="17"/>
  <c r="A24" i="17"/>
  <c r="B25" i="17"/>
  <c r="P24" i="17" l="1"/>
  <c r="X24" i="17" s="1"/>
  <c r="W25" i="17"/>
  <c r="V25" i="17"/>
  <c r="Q25" i="17"/>
  <c r="O25" i="17"/>
  <c r="A25" i="17"/>
  <c r="B26" i="17"/>
  <c r="Y24" i="17" l="1"/>
  <c r="P25" i="17"/>
  <c r="Y25" i="17"/>
  <c r="X25" i="17"/>
  <c r="W26" i="17"/>
  <c r="V26" i="17"/>
  <c r="Q26" i="17"/>
  <c r="O26" i="17"/>
  <c r="P26" i="17" s="1"/>
  <c r="A26" i="17"/>
  <c r="B27" i="17"/>
  <c r="W27" i="17" l="1"/>
  <c r="V27" i="17"/>
  <c r="Q27" i="17"/>
  <c r="O27" i="17"/>
  <c r="P27" i="17" s="1"/>
  <c r="B28" i="17"/>
  <c r="A27" i="17"/>
  <c r="W28" i="17" l="1"/>
  <c r="V28" i="17"/>
  <c r="O28" i="17"/>
  <c r="Q28" i="17"/>
  <c r="A28" i="17"/>
  <c r="B29" i="17"/>
  <c r="P28" i="17" l="1"/>
  <c r="X28" i="17"/>
  <c r="Y28" i="17"/>
  <c r="W29" i="17"/>
  <c r="V29" i="17"/>
  <c r="Q29" i="17"/>
  <c r="O29" i="17"/>
  <c r="B30" i="17"/>
  <c r="A29" i="17"/>
  <c r="P29" i="17" l="1"/>
  <c r="Y29" i="17"/>
  <c r="X29" i="17"/>
  <c r="W30" i="17"/>
  <c r="V30" i="17"/>
  <c r="O30" i="17"/>
  <c r="Q30" i="17"/>
  <c r="B31" i="17"/>
  <c r="A30" i="17"/>
  <c r="P30" i="17" l="1"/>
  <c r="Y30" i="17" s="1"/>
  <c r="X30" i="17"/>
  <c r="W31" i="17"/>
  <c r="V31" i="17"/>
  <c r="Q31" i="17"/>
  <c r="O31" i="17"/>
  <c r="B32" i="17"/>
  <c r="A31" i="17"/>
  <c r="P31" i="17" l="1"/>
  <c r="X31" i="17" s="1"/>
  <c r="Y31" i="17"/>
  <c r="W32" i="17"/>
  <c r="V32" i="17"/>
  <c r="Q32" i="17"/>
  <c r="O32" i="17"/>
  <c r="A32" i="17"/>
  <c r="B33" i="17"/>
  <c r="P32" i="17" l="1"/>
  <c r="X32" i="17"/>
  <c r="X35" i="17" s="1"/>
  <c r="G8" i="13" s="1"/>
  <c r="Y32" i="17"/>
  <c r="Y35" i="17" s="1"/>
  <c r="H8" i="13" s="1"/>
  <c r="W33" i="17"/>
  <c r="V33" i="17"/>
  <c r="O33" i="17"/>
  <c r="O35" i="17" s="1"/>
  <c r="B8" i="13" s="1"/>
  <c r="Q33" i="17"/>
  <c r="Q35" i="17" s="1"/>
  <c r="D8" i="13" s="1"/>
  <c r="B3" i="9"/>
  <c r="A33" i="17"/>
  <c r="W3" i="9" l="1"/>
  <c r="V3" i="9"/>
  <c r="P33" i="17"/>
  <c r="P35" i="17" s="1"/>
  <c r="C8" i="13" s="1"/>
  <c r="E8" i="13" s="1"/>
  <c r="Q3" i="9"/>
  <c r="O3" i="9"/>
  <c r="P3" i="9" s="1"/>
  <c r="Z4" i="17"/>
  <c r="B4" i="9"/>
  <c r="A3" i="9"/>
  <c r="AA4" i="17" l="1"/>
  <c r="AA12" i="17" s="1"/>
  <c r="AD4" i="17"/>
  <c r="W4" i="9"/>
  <c r="V4" i="9"/>
  <c r="AC4" i="17"/>
  <c r="AC12" i="17" s="1"/>
  <c r="Z12" i="17"/>
  <c r="AB4" i="17"/>
  <c r="AB12" i="17" s="1"/>
  <c r="O4" i="9"/>
  <c r="Q4" i="9"/>
  <c r="Z5" i="17"/>
  <c r="B5" i="9"/>
  <c r="A4" i="9"/>
  <c r="P4" i="9" l="1"/>
  <c r="X4" i="9"/>
  <c r="Y4" i="9"/>
  <c r="AA5" i="17"/>
  <c r="AA13" i="17" s="1"/>
  <c r="AD5" i="17"/>
  <c r="W5" i="9"/>
  <c r="V5" i="9"/>
  <c r="AB5" i="17"/>
  <c r="AB13" i="17" s="1"/>
  <c r="AC5" i="17"/>
  <c r="AC13" i="17" s="1"/>
  <c r="Z13" i="17"/>
  <c r="Q5" i="9"/>
  <c r="O5" i="9"/>
  <c r="Z6" i="17"/>
  <c r="B6" i="9"/>
  <c r="A5" i="9"/>
  <c r="P5" i="9" l="1"/>
  <c r="Y5" i="9"/>
  <c r="X5" i="9"/>
  <c r="AA6" i="17"/>
  <c r="AA14" i="17" s="1"/>
  <c r="AD6" i="17"/>
  <c r="W6" i="9"/>
  <c r="V6" i="9"/>
  <c r="AC6" i="17"/>
  <c r="AC14" i="17" s="1"/>
  <c r="Z14" i="17"/>
  <c r="AB6" i="17"/>
  <c r="AB14" i="17" s="1"/>
  <c r="Z7" i="17"/>
  <c r="O6" i="9"/>
  <c r="Q6" i="9"/>
  <c r="A6" i="9"/>
  <c r="B7" i="9"/>
  <c r="P6" i="9" l="1"/>
  <c r="X6" i="9" s="1"/>
  <c r="Y6" i="9"/>
  <c r="AA7" i="17"/>
  <c r="AA15" i="17" s="1"/>
  <c r="AD7" i="17"/>
  <c r="Z15" i="17"/>
  <c r="AC7" i="17"/>
  <c r="AC15" i="17" s="1"/>
  <c r="W7" i="9"/>
  <c r="V7" i="9"/>
  <c r="AB7" i="17"/>
  <c r="AB15" i="17" s="1"/>
  <c r="Z8" i="17"/>
  <c r="O7" i="9"/>
  <c r="Q7" i="9"/>
  <c r="A7" i="9"/>
  <c r="B8" i="9"/>
  <c r="P7" i="9" l="1"/>
  <c r="X7" i="9"/>
  <c r="Y7" i="9"/>
  <c r="AA8" i="17"/>
  <c r="AD8" i="17"/>
  <c r="W8" i="9"/>
  <c r="V8" i="9"/>
  <c r="AC8" i="17"/>
  <c r="AC16" i="17" s="1"/>
  <c r="Z16" i="17"/>
  <c r="AB8" i="17"/>
  <c r="AB16" i="17" s="1"/>
  <c r="Q8" i="9"/>
  <c r="O8" i="9"/>
  <c r="AA16" i="17"/>
  <c r="Z9" i="17"/>
  <c r="A8" i="9"/>
  <c r="B9" i="9"/>
  <c r="P8" i="9" l="1"/>
  <c r="X8" i="9"/>
  <c r="Y8" i="9"/>
  <c r="AA9" i="17"/>
  <c r="AD9" i="17"/>
  <c r="AC9" i="17"/>
  <c r="AC17" i="17" s="1"/>
  <c r="Z17" i="17"/>
  <c r="W9" i="9"/>
  <c r="V9" i="9"/>
  <c r="AB9" i="17"/>
  <c r="AB17" i="17" s="1"/>
  <c r="AA17" i="17"/>
  <c r="Q9" i="9"/>
  <c r="O9" i="9"/>
  <c r="P9" i="9" s="1"/>
  <c r="A9" i="9"/>
  <c r="B10" i="9"/>
  <c r="W10" i="9" l="1"/>
  <c r="V10" i="9"/>
  <c r="Q10" i="9"/>
  <c r="O10" i="9"/>
  <c r="P10" i="9" s="1"/>
  <c r="A10" i="9"/>
  <c r="B11" i="9"/>
  <c r="W11" i="9" l="1"/>
  <c r="V11" i="9"/>
  <c r="Q11" i="9"/>
  <c r="O11" i="9"/>
  <c r="A11" i="9"/>
  <c r="B12" i="9"/>
  <c r="P11" i="9" l="1"/>
  <c r="X11" i="9"/>
  <c r="Y11" i="9"/>
  <c r="W12" i="9"/>
  <c r="V12" i="9"/>
  <c r="O12" i="9"/>
  <c r="Q12" i="9"/>
  <c r="A12" i="9"/>
  <c r="B13" i="9"/>
  <c r="P12" i="9" l="1"/>
  <c r="X12" i="9" s="1"/>
  <c r="W13" i="9"/>
  <c r="V13" i="9"/>
  <c r="O13" i="9"/>
  <c r="Q13" i="9"/>
  <c r="B14" i="9"/>
  <c r="A13" i="9"/>
  <c r="P13" i="9" l="1"/>
  <c r="Y13" i="9"/>
  <c r="X13" i="9"/>
  <c r="Y12" i="9"/>
  <c r="W14" i="9"/>
  <c r="V14" i="9"/>
  <c r="O14" i="9"/>
  <c r="Q14" i="9"/>
  <c r="A14" i="9"/>
  <c r="B15" i="9"/>
  <c r="P14" i="9" l="1"/>
  <c r="Y14" i="9" s="1"/>
  <c r="X14" i="9"/>
  <c r="W15" i="9"/>
  <c r="V15" i="9"/>
  <c r="O15" i="9"/>
  <c r="Q15" i="9"/>
  <c r="A15" i="9"/>
  <c r="B16" i="9"/>
  <c r="P15" i="9" l="1"/>
  <c r="X15" i="9"/>
  <c r="Y15" i="9"/>
  <c r="W16" i="9"/>
  <c r="V16" i="9"/>
  <c r="Q16" i="9"/>
  <c r="O16" i="9"/>
  <c r="P16" i="9" s="1"/>
  <c r="A16" i="9"/>
  <c r="B17" i="9"/>
  <c r="W17" i="9" l="1"/>
  <c r="V17" i="9"/>
  <c r="Q17" i="9"/>
  <c r="O17" i="9"/>
  <c r="P17" i="9" s="1"/>
  <c r="B18" i="9"/>
  <c r="A17" i="9"/>
  <c r="W18" i="9" l="1"/>
  <c r="V18" i="9"/>
  <c r="Q18" i="9"/>
  <c r="O18" i="9"/>
  <c r="B19" i="9"/>
  <c r="A18" i="9"/>
  <c r="P18" i="9" l="1"/>
  <c r="Y18" i="9"/>
  <c r="X18" i="9"/>
  <c r="W19" i="9"/>
  <c r="V19" i="9"/>
  <c r="O19" i="9"/>
  <c r="Q19" i="9"/>
  <c r="A19" i="9"/>
  <c r="B20" i="9"/>
  <c r="P19" i="9" l="1"/>
  <c r="X19" i="9"/>
  <c r="Y19" i="9"/>
  <c r="W20" i="9"/>
  <c r="V20" i="9"/>
  <c r="Q20" i="9"/>
  <c r="O20" i="9"/>
  <c r="A20" i="9"/>
  <c r="B21" i="9"/>
  <c r="P20" i="9" l="1"/>
  <c r="X20" i="9" s="1"/>
  <c r="Y20" i="9"/>
  <c r="W21" i="9"/>
  <c r="V21" i="9"/>
  <c r="Q21" i="9"/>
  <c r="O21" i="9"/>
  <c r="B22" i="9"/>
  <c r="A21" i="9"/>
  <c r="P21" i="9" l="1"/>
  <c r="X21" i="9" s="1"/>
  <c r="Y21" i="9"/>
  <c r="W22" i="9"/>
  <c r="V22" i="9"/>
  <c r="O22" i="9"/>
  <c r="Q22" i="9"/>
  <c r="A22" i="9"/>
  <c r="B23" i="9"/>
  <c r="P22" i="9" l="1"/>
  <c r="X22" i="9" s="1"/>
  <c r="Y22" i="9"/>
  <c r="W23" i="9"/>
  <c r="V23" i="9"/>
  <c r="Q23" i="9"/>
  <c r="O23" i="9"/>
  <c r="P23" i="9" s="1"/>
  <c r="B24" i="9"/>
  <c r="A23" i="9"/>
  <c r="W24" i="9" l="1"/>
  <c r="V24" i="9"/>
  <c r="Q24" i="9"/>
  <c r="O24" i="9"/>
  <c r="P24" i="9" s="1"/>
  <c r="A24" i="9"/>
  <c r="B25" i="9"/>
  <c r="W25" i="9" l="1"/>
  <c r="V25" i="9"/>
  <c r="Q25" i="9"/>
  <c r="O25" i="9"/>
  <c r="B26" i="9"/>
  <c r="A25" i="9"/>
  <c r="P25" i="9" l="1"/>
  <c r="X25" i="9"/>
  <c r="Y25" i="9"/>
  <c r="W26" i="9"/>
  <c r="V26" i="9"/>
  <c r="O26" i="9"/>
  <c r="Q26" i="9"/>
  <c r="B27" i="9"/>
  <c r="A26" i="9"/>
  <c r="P26" i="9" l="1"/>
  <c r="X26" i="9" s="1"/>
  <c r="Y26" i="9"/>
  <c r="W27" i="9"/>
  <c r="V27" i="9"/>
  <c r="Q27" i="9"/>
  <c r="O27" i="9"/>
  <c r="A27" i="9"/>
  <c r="B28" i="9"/>
  <c r="P27" i="9" l="1"/>
  <c r="X27" i="9" s="1"/>
  <c r="Y27" i="9"/>
  <c r="W28" i="9"/>
  <c r="V28" i="9"/>
  <c r="Q28" i="9"/>
  <c r="O28" i="9"/>
  <c r="A28" i="9"/>
  <c r="B29" i="9"/>
  <c r="P28" i="9" l="1"/>
  <c r="X28" i="9"/>
  <c r="Y28" i="9"/>
  <c r="W29" i="9"/>
  <c r="V29" i="9"/>
  <c r="Q29" i="9"/>
  <c r="O29" i="9"/>
  <c r="B30" i="9"/>
  <c r="A29" i="9"/>
  <c r="P29" i="9" l="1"/>
  <c r="X29" i="9" s="1"/>
  <c r="Y29" i="9"/>
  <c r="W30" i="9"/>
  <c r="V30" i="9"/>
  <c r="Q30" i="9"/>
  <c r="O30" i="9"/>
  <c r="P30" i="9" s="1"/>
  <c r="A30" i="9"/>
  <c r="B31" i="9"/>
  <c r="W31" i="9" l="1"/>
  <c r="V31" i="9"/>
  <c r="Q31" i="9"/>
  <c r="O31" i="9"/>
  <c r="P31" i="9" s="1"/>
  <c r="B32" i="9"/>
  <c r="A31" i="9"/>
  <c r="W32" i="9" l="1"/>
  <c r="V32" i="9"/>
  <c r="Q32" i="9"/>
  <c r="Q34" i="9" s="1"/>
  <c r="D9" i="13" s="1"/>
  <c r="O32" i="9"/>
  <c r="A32" i="9"/>
  <c r="B3" i="8"/>
  <c r="P32" i="9" l="1"/>
  <c r="P34" i="9" s="1"/>
  <c r="Y32" i="9"/>
  <c r="Y34" i="9" s="1"/>
  <c r="H9" i="13" s="1"/>
  <c r="X32" i="9"/>
  <c r="X34" i="9" s="1"/>
  <c r="G9" i="13" s="1"/>
  <c r="W3" i="8"/>
  <c r="V3" i="8"/>
  <c r="O34" i="9"/>
  <c r="B9" i="13" s="1"/>
  <c r="Z4" i="9"/>
  <c r="O3" i="8"/>
  <c r="Q3" i="8"/>
  <c r="C9" i="13"/>
  <c r="B4" i="8"/>
  <c r="A3" i="8"/>
  <c r="P3" i="8" l="1"/>
  <c r="X3" i="8"/>
  <c r="Y3" i="8"/>
  <c r="AB4" i="9"/>
  <c r="AB12" i="9" s="1"/>
  <c r="AC4" i="9"/>
  <c r="AC12" i="9" s="1"/>
  <c r="AA4" i="9"/>
  <c r="AA12" i="9" s="1"/>
  <c r="AD4" i="9"/>
  <c r="W4" i="8"/>
  <c r="V4" i="8"/>
  <c r="Z12" i="9"/>
  <c r="Z5" i="9"/>
  <c r="O4" i="8"/>
  <c r="Q4" i="8"/>
  <c r="E9" i="13"/>
  <c r="B5" i="8"/>
  <c r="A4" i="8"/>
  <c r="P4" i="8" l="1"/>
  <c r="X4" i="8" s="1"/>
  <c r="AA5" i="9"/>
  <c r="AA13" i="9" s="1"/>
  <c r="AC5" i="9"/>
  <c r="AC13" i="9" s="1"/>
  <c r="AB5" i="9"/>
  <c r="AB13" i="9" s="1"/>
  <c r="AD5" i="9"/>
  <c r="W5" i="8"/>
  <c r="V5" i="8"/>
  <c r="Z13" i="9"/>
  <c r="O5" i="8"/>
  <c r="Q5" i="8"/>
  <c r="Z6" i="9"/>
  <c r="B6" i="8"/>
  <c r="A5" i="8"/>
  <c r="P5" i="8" l="1"/>
  <c r="X5" i="8"/>
  <c r="Y5" i="8"/>
  <c r="Y4" i="8"/>
  <c r="AA6" i="9"/>
  <c r="AA14" i="9" s="1"/>
  <c r="AB6" i="9"/>
  <c r="AB14" i="9" s="1"/>
  <c r="AC6" i="9"/>
  <c r="AC14" i="9" s="1"/>
  <c r="AD6" i="9"/>
  <c r="Z14" i="9"/>
  <c r="W6" i="8"/>
  <c r="V6" i="8"/>
  <c r="O6" i="8"/>
  <c r="Q6" i="8"/>
  <c r="Z7" i="9"/>
  <c r="B7" i="8"/>
  <c r="A6" i="8"/>
  <c r="P6" i="8" l="1"/>
  <c r="X6" i="8" s="1"/>
  <c r="Y6" i="8"/>
  <c r="AA7" i="9"/>
  <c r="AA15" i="9" s="1"/>
  <c r="AB7" i="9"/>
  <c r="AB15" i="9" s="1"/>
  <c r="AC7" i="9"/>
  <c r="AC15" i="9" s="1"/>
  <c r="AD7" i="9"/>
  <c r="W7" i="8"/>
  <c r="V7" i="8"/>
  <c r="Z15" i="9"/>
  <c r="Q7" i="8"/>
  <c r="O7" i="8"/>
  <c r="P7" i="8" s="1"/>
  <c r="Z8" i="9"/>
  <c r="A7" i="8"/>
  <c r="B8" i="8"/>
  <c r="AC8" i="9" l="1"/>
  <c r="AC16" i="9" s="1"/>
  <c r="AB8" i="9"/>
  <c r="AB16" i="9" s="1"/>
  <c r="AA8" i="9"/>
  <c r="AA16" i="9" s="1"/>
  <c r="AD8" i="9"/>
  <c r="W8" i="8"/>
  <c r="V8" i="8"/>
  <c r="Z16" i="9"/>
  <c r="Q8" i="8"/>
  <c r="O8" i="8"/>
  <c r="P8" i="8" s="1"/>
  <c r="Z9" i="9"/>
  <c r="B9" i="8"/>
  <c r="A8" i="8"/>
  <c r="AA9" i="9" l="1"/>
  <c r="AA17" i="9" s="1"/>
  <c r="AB9" i="9"/>
  <c r="AB17" i="9" s="1"/>
  <c r="AC9" i="9"/>
  <c r="AC17" i="9" s="1"/>
  <c r="AD9" i="9"/>
  <c r="W9" i="8"/>
  <c r="V9" i="8"/>
  <c r="Z17" i="9"/>
  <c r="Q9" i="8"/>
  <c r="O9" i="8"/>
  <c r="B10" i="8"/>
  <c r="A9" i="8"/>
  <c r="P9" i="8" l="1"/>
  <c r="X9" i="8"/>
  <c r="Y9" i="8"/>
  <c r="W10" i="8"/>
  <c r="V10" i="8"/>
  <c r="O10" i="8"/>
  <c r="Q10" i="8"/>
  <c r="B11" i="8"/>
  <c r="A10" i="8"/>
  <c r="P10" i="8" l="1"/>
  <c r="X10" i="8" s="1"/>
  <c r="Y10" i="8"/>
  <c r="W11" i="8"/>
  <c r="V11" i="8"/>
  <c r="O11" i="8"/>
  <c r="Q11" i="8"/>
  <c r="A11" i="8"/>
  <c r="B12" i="8"/>
  <c r="P11" i="8" l="1"/>
  <c r="Y11" i="8" s="1"/>
  <c r="X11" i="8"/>
  <c r="W12" i="8"/>
  <c r="V12" i="8"/>
  <c r="O12" i="8"/>
  <c r="Q12" i="8"/>
  <c r="B13" i="8"/>
  <c r="A12" i="8"/>
  <c r="P12" i="8" l="1"/>
  <c r="Y12" i="8"/>
  <c r="X12" i="8"/>
  <c r="W13" i="8"/>
  <c r="V13" i="8"/>
  <c r="O13" i="8"/>
  <c r="Q13" i="8"/>
  <c r="B14" i="8"/>
  <c r="A13" i="8"/>
  <c r="P13" i="8" l="1"/>
  <c r="Y13" i="8" s="1"/>
  <c r="X13" i="8"/>
  <c r="W14" i="8"/>
  <c r="V14" i="8"/>
  <c r="Q14" i="8"/>
  <c r="O14" i="8"/>
  <c r="P14" i="8" s="1"/>
  <c r="A14" i="8"/>
  <c r="B15" i="8"/>
  <c r="W15" i="8" l="1"/>
  <c r="V15" i="8"/>
  <c r="Q15" i="8"/>
  <c r="O15" i="8"/>
  <c r="P15" i="8" s="1"/>
  <c r="B16" i="8"/>
  <c r="A15" i="8"/>
  <c r="W16" i="8" l="1"/>
  <c r="V16" i="8"/>
  <c r="Q16" i="8"/>
  <c r="O16" i="8"/>
  <c r="B17" i="8"/>
  <c r="A16" i="8"/>
  <c r="P16" i="8" l="1"/>
  <c r="X16" i="8"/>
  <c r="Y16" i="8"/>
  <c r="W17" i="8"/>
  <c r="V17" i="8"/>
  <c r="O17" i="8"/>
  <c r="Q17" i="8"/>
  <c r="B18" i="8"/>
  <c r="A17" i="8"/>
  <c r="P17" i="8" l="1"/>
  <c r="Y17" i="8" s="1"/>
  <c r="X17" i="8"/>
  <c r="W18" i="8"/>
  <c r="V18" i="8"/>
  <c r="O18" i="8"/>
  <c r="Q18" i="8"/>
  <c r="A18" i="8"/>
  <c r="B19" i="8"/>
  <c r="P18" i="8" l="1"/>
  <c r="Y18" i="8" s="1"/>
  <c r="X18" i="8"/>
  <c r="W19" i="8"/>
  <c r="V19" i="8"/>
  <c r="Q19" i="8"/>
  <c r="O19" i="8"/>
  <c r="A19" i="8"/>
  <c r="B20" i="8"/>
  <c r="P19" i="8" l="1"/>
  <c r="X19" i="8"/>
  <c r="Y19" i="8"/>
  <c r="W20" i="8"/>
  <c r="V20" i="8"/>
  <c r="O20" i="8"/>
  <c r="Q20" i="8"/>
  <c r="B21" i="8"/>
  <c r="A20" i="8"/>
  <c r="P20" i="8" l="1"/>
  <c r="X20" i="8"/>
  <c r="Y20" i="8"/>
  <c r="W21" i="8"/>
  <c r="V21" i="8"/>
  <c r="Q21" i="8"/>
  <c r="O21" i="8"/>
  <c r="P21" i="8" s="1"/>
  <c r="B22" i="8"/>
  <c r="A21" i="8"/>
  <c r="W22" i="8" l="1"/>
  <c r="V22" i="8"/>
  <c r="O22" i="8"/>
  <c r="P22" i="8" s="1"/>
  <c r="Q22" i="8"/>
  <c r="A22" i="8"/>
  <c r="B23" i="8"/>
  <c r="W23" i="8" l="1"/>
  <c r="V23" i="8"/>
  <c r="O23" i="8"/>
  <c r="Q23" i="8"/>
  <c r="A23" i="8"/>
  <c r="B24" i="8"/>
  <c r="P23" i="8" l="1"/>
  <c r="X23" i="8" s="1"/>
  <c r="W24" i="8"/>
  <c r="V24" i="8"/>
  <c r="Q24" i="8"/>
  <c r="O24" i="8"/>
  <c r="B25" i="8"/>
  <c r="A24" i="8"/>
  <c r="P24" i="8" l="1"/>
  <c r="X24" i="8" s="1"/>
  <c r="Y24" i="8"/>
  <c r="Y23" i="8"/>
  <c r="W25" i="8"/>
  <c r="V25" i="8"/>
  <c r="O25" i="8"/>
  <c r="Q25" i="8"/>
  <c r="B26" i="8"/>
  <c r="A25" i="8"/>
  <c r="P25" i="8" l="1"/>
  <c r="X25" i="8"/>
  <c r="Y25" i="8"/>
  <c r="W26" i="8"/>
  <c r="V26" i="8"/>
  <c r="Q26" i="8"/>
  <c r="O26" i="8"/>
  <c r="A26" i="8"/>
  <c r="B27" i="8"/>
  <c r="P26" i="8" l="1"/>
  <c r="X26" i="8" s="1"/>
  <c r="Y26" i="8"/>
  <c r="W27" i="8"/>
  <c r="V27" i="8"/>
  <c r="Q27" i="8"/>
  <c r="O27" i="8"/>
  <c r="A27" i="8"/>
  <c r="B28" i="8"/>
  <c r="P27" i="8" l="1"/>
  <c r="X27" i="8"/>
  <c r="Y27" i="8"/>
  <c r="W28" i="8"/>
  <c r="V28" i="8"/>
  <c r="O28" i="8"/>
  <c r="P28" i="8" s="1"/>
  <c r="Q28" i="8"/>
  <c r="B29" i="8"/>
  <c r="A28" i="8"/>
  <c r="W29" i="8" l="1"/>
  <c r="V29" i="8"/>
  <c r="Q29" i="8"/>
  <c r="O29" i="8"/>
  <c r="P29" i="8" s="1"/>
  <c r="B30" i="8"/>
  <c r="A29" i="8"/>
  <c r="W30" i="8" l="1"/>
  <c r="V30" i="8"/>
  <c r="O30" i="8"/>
  <c r="Q30" i="8"/>
  <c r="A30" i="8"/>
  <c r="B31" i="8"/>
  <c r="P30" i="8" l="1"/>
  <c r="Y30" i="8"/>
  <c r="X30" i="8"/>
  <c r="W31" i="8"/>
  <c r="V31" i="8"/>
  <c r="O31" i="8"/>
  <c r="Q31" i="8"/>
  <c r="B32" i="8"/>
  <c r="A31" i="8"/>
  <c r="P31" i="8" l="1"/>
  <c r="X31" i="8" s="1"/>
  <c r="Y31" i="8"/>
  <c r="W32" i="8"/>
  <c r="V32" i="8"/>
  <c r="Q32" i="8"/>
  <c r="O32" i="8"/>
  <c r="B33" i="8"/>
  <c r="A32" i="8"/>
  <c r="P32" i="8" l="1"/>
  <c r="Y32" i="8" s="1"/>
  <c r="X32" i="8"/>
  <c r="W33" i="8"/>
  <c r="V33" i="8"/>
  <c r="Q33" i="8"/>
  <c r="Q35" i="8" s="1"/>
  <c r="D10" i="13" s="1"/>
  <c r="O33" i="8"/>
  <c r="B3" i="7"/>
  <c r="A33" i="8"/>
  <c r="P33" i="8" l="1"/>
  <c r="X33" i="8" s="1"/>
  <c r="X35" i="8" s="1"/>
  <c r="G10" i="13" s="1"/>
  <c r="W3" i="7"/>
  <c r="V3" i="7"/>
  <c r="O35" i="8"/>
  <c r="B10" i="13" s="1"/>
  <c r="Q3" i="7"/>
  <c r="O3" i="7"/>
  <c r="Z4" i="8"/>
  <c r="A3" i="7"/>
  <c r="B4" i="7"/>
  <c r="P35" i="8"/>
  <c r="P3" i="7" l="1"/>
  <c r="X3" i="7"/>
  <c r="Y3" i="7"/>
  <c r="Y33" i="8"/>
  <c r="Y35" i="8" s="1"/>
  <c r="H10" i="13" s="1"/>
  <c r="AA4" i="8"/>
  <c r="AA12" i="8" s="1"/>
  <c r="AD4" i="8"/>
  <c r="Z12" i="8"/>
  <c r="AC4" i="8"/>
  <c r="AC12" i="8" s="1"/>
  <c r="W4" i="7"/>
  <c r="V4" i="7"/>
  <c r="AB4" i="8"/>
  <c r="AB12" i="8" s="1"/>
  <c r="Q4" i="7"/>
  <c r="O4" i="7"/>
  <c r="P4" i="7" s="1"/>
  <c r="Z5" i="8"/>
  <c r="B5" i="7"/>
  <c r="A4" i="7"/>
  <c r="C10" i="13"/>
  <c r="E10" i="13" s="1"/>
  <c r="AA5" i="8" l="1"/>
  <c r="AA13" i="8" s="1"/>
  <c r="AD5" i="8"/>
  <c r="W5" i="7"/>
  <c r="V5" i="7"/>
  <c r="AB5" i="8"/>
  <c r="AB13" i="8" s="1"/>
  <c r="AC5" i="8"/>
  <c r="AC13" i="8" s="1"/>
  <c r="Z13" i="8"/>
  <c r="Q5" i="7"/>
  <c r="O5" i="7"/>
  <c r="P5" i="7" s="1"/>
  <c r="Z6" i="8"/>
  <c r="B6" i="7"/>
  <c r="A5" i="7"/>
  <c r="AA6" i="8" l="1"/>
  <c r="AA14" i="8" s="1"/>
  <c r="AD6" i="8"/>
  <c r="Z14" i="8"/>
  <c r="AC6" i="8"/>
  <c r="AC14" i="8" s="1"/>
  <c r="W6" i="7"/>
  <c r="V6" i="7"/>
  <c r="AB6" i="8"/>
  <c r="AB14" i="8" s="1"/>
  <c r="Z7" i="8"/>
  <c r="Q6" i="7"/>
  <c r="O6" i="7"/>
  <c r="B7" i="7"/>
  <c r="A6" i="7"/>
  <c r="P6" i="7" l="1"/>
  <c r="X6" i="7"/>
  <c r="Y6" i="7"/>
  <c r="AA7" i="8"/>
  <c r="AA15" i="8" s="1"/>
  <c r="AD7" i="8"/>
  <c r="W7" i="7"/>
  <c r="V7" i="7"/>
  <c r="Z15" i="8"/>
  <c r="AC7" i="8"/>
  <c r="AC15" i="8" s="1"/>
  <c r="AB7" i="8"/>
  <c r="AB15" i="8" s="1"/>
  <c r="Q7" i="7"/>
  <c r="O7" i="7"/>
  <c r="Z8" i="8"/>
  <c r="B8" i="7"/>
  <c r="A7" i="7"/>
  <c r="P7" i="7" l="1"/>
  <c r="X7" i="7" s="1"/>
  <c r="Y7" i="7"/>
  <c r="AA8" i="8"/>
  <c r="AA16" i="8" s="1"/>
  <c r="AD8" i="8"/>
  <c r="W8" i="7"/>
  <c r="V8" i="7"/>
  <c r="Z16" i="8"/>
  <c r="AC8" i="8"/>
  <c r="AC16" i="8" s="1"/>
  <c r="AB8" i="8"/>
  <c r="AB16" i="8" s="1"/>
  <c r="O8" i="7"/>
  <c r="Q8" i="7"/>
  <c r="Z9" i="8"/>
  <c r="A8" i="7"/>
  <c r="B9" i="7"/>
  <c r="P8" i="7" l="1"/>
  <c r="Y8" i="7" s="1"/>
  <c r="X8" i="7"/>
  <c r="AA9" i="8"/>
  <c r="AD9" i="8"/>
  <c r="AC9" i="8"/>
  <c r="AC17" i="8" s="1"/>
  <c r="Z17" i="8"/>
  <c r="W9" i="7"/>
  <c r="V9" i="7"/>
  <c r="AB9" i="8"/>
  <c r="AB17" i="8" s="1"/>
  <c r="AA17" i="8"/>
  <c r="Q9" i="7"/>
  <c r="O9" i="7"/>
  <c r="B10" i="7"/>
  <c r="A9" i="7"/>
  <c r="P9" i="7" l="1"/>
  <c r="Y9" i="7"/>
  <c r="X9" i="7"/>
  <c r="W10" i="7"/>
  <c r="V10" i="7"/>
  <c r="Q10" i="7"/>
  <c r="O10" i="7"/>
  <c r="A10" i="7"/>
  <c r="B11" i="7"/>
  <c r="P10" i="7" l="1"/>
  <c r="Y10" i="7"/>
  <c r="X10" i="7"/>
  <c r="W11" i="7"/>
  <c r="V11" i="7"/>
  <c r="O11" i="7"/>
  <c r="P11" i="7" s="1"/>
  <c r="Q11" i="7"/>
  <c r="A11" i="7"/>
  <c r="B12" i="7"/>
  <c r="W12" i="7" l="1"/>
  <c r="V12" i="7"/>
  <c r="Q12" i="7"/>
  <c r="O12" i="7"/>
  <c r="P12" i="7" s="1"/>
  <c r="B13" i="7"/>
  <c r="A12" i="7"/>
  <c r="W13" i="7" l="1"/>
  <c r="V13" i="7"/>
  <c r="Q13" i="7"/>
  <c r="O13" i="7"/>
  <c r="B14" i="7"/>
  <c r="A13" i="7"/>
  <c r="P13" i="7" l="1"/>
  <c r="X13" i="7"/>
  <c r="Y13" i="7"/>
  <c r="W14" i="7"/>
  <c r="V14" i="7"/>
  <c r="O14" i="7"/>
  <c r="Q14" i="7"/>
  <c r="A14" i="7"/>
  <c r="B15" i="7"/>
  <c r="P14" i="7" l="1"/>
  <c r="Y14" i="7"/>
  <c r="X14" i="7"/>
  <c r="W15" i="7"/>
  <c r="V15" i="7"/>
  <c r="O15" i="7"/>
  <c r="Q15" i="7"/>
  <c r="A15" i="7"/>
  <c r="B16" i="7"/>
  <c r="P15" i="7" l="1"/>
  <c r="X15" i="7"/>
  <c r="Y15" i="7"/>
  <c r="W16" i="7"/>
  <c r="V16" i="7"/>
  <c r="Q16" i="7"/>
  <c r="O16" i="7"/>
  <c r="B17" i="7"/>
  <c r="A16" i="7"/>
  <c r="P16" i="7" l="1"/>
  <c r="Y16" i="7"/>
  <c r="X16" i="7"/>
  <c r="W17" i="7"/>
  <c r="V17" i="7"/>
  <c r="Q17" i="7"/>
  <c r="O17" i="7"/>
  <c r="B18" i="7"/>
  <c r="A17" i="7"/>
  <c r="P17" i="7" l="1"/>
  <c r="X17" i="7"/>
  <c r="Y17" i="7"/>
  <c r="W18" i="7"/>
  <c r="V18" i="7"/>
  <c r="Q18" i="7"/>
  <c r="O18" i="7"/>
  <c r="P18" i="7" s="1"/>
  <c r="B19" i="7"/>
  <c r="A18" i="7"/>
  <c r="W19" i="7" l="1"/>
  <c r="V19" i="7"/>
  <c r="O19" i="7"/>
  <c r="P19" i="7" s="1"/>
  <c r="Q19" i="7"/>
  <c r="A19" i="7"/>
  <c r="B20" i="7"/>
  <c r="W20" i="7" l="1"/>
  <c r="V20" i="7"/>
  <c r="Q20" i="7"/>
  <c r="O20" i="7"/>
  <c r="B21" i="7"/>
  <c r="A20" i="7"/>
  <c r="P20" i="7" l="1"/>
  <c r="X20" i="7"/>
  <c r="Y20" i="7"/>
  <c r="W21" i="7"/>
  <c r="V21" i="7"/>
  <c r="Q21" i="7"/>
  <c r="O21" i="7"/>
  <c r="A21" i="7"/>
  <c r="B22" i="7"/>
  <c r="P21" i="7" l="1"/>
  <c r="Y21" i="7"/>
  <c r="X21" i="7"/>
  <c r="W22" i="7"/>
  <c r="V22" i="7"/>
  <c r="O22" i="7"/>
  <c r="Q22" i="7"/>
  <c r="A22" i="7"/>
  <c r="B23" i="7"/>
  <c r="P22" i="7" l="1"/>
  <c r="X22" i="7"/>
  <c r="Y22" i="7"/>
  <c r="W23" i="7"/>
  <c r="V23" i="7"/>
  <c r="O23" i="7"/>
  <c r="Q23" i="7"/>
  <c r="B24" i="7"/>
  <c r="A23" i="7"/>
  <c r="P23" i="7" l="1"/>
  <c r="X23" i="7"/>
  <c r="Y23" i="7"/>
  <c r="W24" i="7"/>
  <c r="V24" i="7"/>
  <c r="Q24" i="7"/>
  <c r="O24" i="7"/>
  <c r="A24" i="7"/>
  <c r="B25" i="7"/>
  <c r="P24" i="7" l="1"/>
  <c r="X24" i="7"/>
  <c r="Y24" i="7"/>
  <c r="W25" i="7"/>
  <c r="V25" i="7"/>
  <c r="Q25" i="7"/>
  <c r="O25" i="7"/>
  <c r="P25" i="7" s="1"/>
  <c r="B26" i="7"/>
  <c r="A25" i="7"/>
  <c r="W26" i="7" l="1"/>
  <c r="V26" i="7"/>
  <c r="Q26" i="7"/>
  <c r="O26" i="7"/>
  <c r="A26" i="7"/>
  <c r="B27" i="7"/>
  <c r="W27" i="7" l="1"/>
  <c r="V27" i="7"/>
  <c r="P26" i="7"/>
  <c r="X26" i="7"/>
  <c r="Y26" i="7"/>
  <c r="Q27" i="7"/>
  <c r="O27" i="7"/>
  <c r="B28" i="7"/>
  <c r="A27" i="7"/>
  <c r="W28" i="7" l="1"/>
  <c r="V28" i="7"/>
  <c r="P27" i="7"/>
  <c r="X27" i="7" s="1"/>
  <c r="Y27" i="7"/>
  <c r="Q28" i="7"/>
  <c r="O28" i="7"/>
  <c r="B29" i="7"/>
  <c r="A28" i="7"/>
  <c r="W29" i="7" l="1"/>
  <c r="V29" i="7"/>
  <c r="P28" i="7"/>
  <c r="X28" i="7"/>
  <c r="Y28" i="7"/>
  <c r="O29" i="7"/>
  <c r="Q29" i="7"/>
  <c r="A29" i="7"/>
  <c r="B30" i="7"/>
  <c r="W30" i="7" l="1"/>
  <c r="V30" i="7"/>
  <c r="P29" i="7"/>
  <c r="X29" i="7" s="1"/>
  <c r="Q30" i="7"/>
  <c r="O30" i="7"/>
  <c r="A30" i="7"/>
  <c r="B31" i="7"/>
  <c r="W31" i="7" l="1"/>
  <c r="V31" i="7"/>
  <c r="Y29" i="7"/>
  <c r="P30" i="7"/>
  <c r="X30" i="7" s="1"/>
  <c r="Q31" i="7"/>
  <c r="O31" i="7"/>
  <c r="A31" i="7"/>
  <c r="B32" i="7"/>
  <c r="P31" i="7" l="1"/>
  <c r="Y31" i="7"/>
  <c r="X31" i="7"/>
  <c r="W32" i="7"/>
  <c r="V32" i="7"/>
  <c r="Y30" i="7"/>
  <c r="Q32" i="7"/>
  <c r="O32" i="7"/>
  <c r="P32" i="7" s="1"/>
  <c r="B33" i="7"/>
  <c r="A32" i="7"/>
  <c r="W33" i="7" l="1"/>
  <c r="V33" i="7"/>
  <c r="Q33" i="7"/>
  <c r="Q35" i="7" s="1"/>
  <c r="D11" i="13" s="1"/>
  <c r="O33" i="7"/>
  <c r="A33" i="7"/>
  <c r="B3" i="6"/>
  <c r="W3" i="6" l="1"/>
  <c r="V3" i="6"/>
  <c r="P33" i="7"/>
  <c r="P35" i="7" s="1"/>
  <c r="Q3" i="6"/>
  <c r="O3" i="6"/>
  <c r="O35" i="7"/>
  <c r="B11" i="13" s="1"/>
  <c r="Z4" i="7"/>
  <c r="A3" i="6"/>
  <c r="B4" i="6"/>
  <c r="AA4" i="7" l="1"/>
  <c r="AA12" i="7" s="1"/>
  <c r="AD4" i="7"/>
  <c r="AC4" i="7"/>
  <c r="AC12" i="7" s="1"/>
  <c r="Z12" i="7"/>
  <c r="W4" i="6"/>
  <c r="V4" i="6"/>
  <c r="AB4" i="7"/>
  <c r="AB12" i="7" s="1"/>
  <c r="X33" i="7"/>
  <c r="X35" i="7" s="1"/>
  <c r="G11" i="13" s="1"/>
  <c r="Y33" i="7"/>
  <c r="Y35" i="7" s="1"/>
  <c r="H11" i="13" s="1"/>
  <c r="P3" i="6"/>
  <c r="X3" i="6" s="1"/>
  <c r="O4" i="6"/>
  <c r="P4" i="6" s="1"/>
  <c r="Q4" i="6"/>
  <c r="Z5" i="7"/>
  <c r="A4" i="6"/>
  <c r="B5" i="6"/>
  <c r="C11" i="13"/>
  <c r="E11" i="13" s="1"/>
  <c r="AA5" i="7" l="1"/>
  <c r="AA13" i="7" s="1"/>
  <c r="AD5" i="7"/>
  <c r="W5" i="6"/>
  <c r="V5" i="6"/>
  <c r="AB5" i="7"/>
  <c r="AB13" i="7" s="1"/>
  <c r="Z13" i="7"/>
  <c r="AC5" i="7"/>
  <c r="AC13" i="7" s="1"/>
  <c r="Y3" i="6"/>
  <c r="X4" i="6"/>
  <c r="Y4" i="6"/>
  <c r="Z6" i="7"/>
  <c r="Q5" i="6"/>
  <c r="O5" i="6"/>
  <c r="A5" i="6"/>
  <c r="B6" i="6"/>
  <c r="AA6" i="7" l="1"/>
  <c r="AA14" i="7" s="1"/>
  <c r="AD6" i="7"/>
  <c r="AC6" i="7"/>
  <c r="AC14" i="7" s="1"/>
  <c r="Z14" i="7"/>
  <c r="W6" i="6"/>
  <c r="V6" i="6"/>
  <c r="AB6" i="7"/>
  <c r="AB14" i="7" s="1"/>
  <c r="P5" i="6"/>
  <c r="X5" i="6" s="1"/>
  <c r="O6" i="6"/>
  <c r="Q6" i="6"/>
  <c r="Z7" i="7"/>
  <c r="A6" i="6"/>
  <c r="B7" i="6"/>
  <c r="AA7" i="7" l="1"/>
  <c r="AD7" i="7"/>
  <c r="W7" i="6"/>
  <c r="V7" i="6"/>
  <c r="AC7" i="7"/>
  <c r="AC15" i="7" s="1"/>
  <c r="Z15" i="7"/>
  <c r="AB7" i="7"/>
  <c r="AB15" i="7" s="1"/>
  <c r="P6" i="6"/>
  <c r="X6" i="6" s="1"/>
  <c r="Y5" i="6"/>
  <c r="AA15" i="7"/>
  <c r="Z8" i="7"/>
  <c r="Q7" i="6"/>
  <c r="O7" i="6"/>
  <c r="B8" i="6"/>
  <c r="A7" i="6"/>
  <c r="P7" i="6" l="1"/>
  <c r="Y7" i="6"/>
  <c r="X7" i="6"/>
  <c r="AA8" i="7"/>
  <c r="AA16" i="7" s="1"/>
  <c r="AD8" i="7"/>
  <c r="W8" i="6"/>
  <c r="V8" i="6"/>
  <c r="AC8" i="7"/>
  <c r="AC16" i="7" s="1"/>
  <c r="Z16" i="7"/>
  <c r="AB8" i="7"/>
  <c r="AB16" i="7" s="1"/>
  <c r="Y6" i="6"/>
  <c r="Z9" i="7"/>
  <c r="Q8" i="6"/>
  <c r="O8" i="6"/>
  <c r="P8" i="6" s="1"/>
  <c r="B9" i="6"/>
  <c r="A8" i="6"/>
  <c r="AA9" i="7" l="1"/>
  <c r="AD9" i="7"/>
  <c r="W9" i="6"/>
  <c r="V9" i="6"/>
  <c r="AC9" i="7"/>
  <c r="AC17" i="7" s="1"/>
  <c r="Z17" i="7"/>
  <c r="AB9" i="7"/>
  <c r="AB17" i="7" s="1"/>
  <c r="AA17" i="7"/>
  <c r="Q9" i="6"/>
  <c r="O9" i="6"/>
  <c r="A9" i="6"/>
  <c r="B10" i="6"/>
  <c r="W10" i="6" l="1"/>
  <c r="V10" i="6"/>
  <c r="P9" i="6"/>
  <c r="Y9" i="6" s="1"/>
  <c r="O10" i="6"/>
  <c r="Q10" i="6"/>
  <c r="A10" i="6"/>
  <c r="B11" i="6"/>
  <c r="W11" i="6" l="1"/>
  <c r="V11" i="6"/>
  <c r="X9" i="6"/>
  <c r="P10" i="6"/>
  <c r="X10" i="6" s="1"/>
  <c r="O11" i="6"/>
  <c r="P11" i="6" s="1"/>
  <c r="Q11" i="6"/>
  <c r="B12" i="6"/>
  <c r="A11" i="6"/>
  <c r="W12" i="6" l="1"/>
  <c r="V12" i="6"/>
  <c r="Y10" i="6"/>
  <c r="X11" i="6"/>
  <c r="Y11" i="6"/>
  <c r="Q12" i="6"/>
  <c r="O12" i="6"/>
  <c r="A12" i="6"/>
  <c r="B13" i="6"/>
  <c r="W13" i="6" l="1"/>
  <c r="V13" i="6"/>
  <c r="P12" i="6"/>
  <c r="X12" i="6" s="1"/>
  <c r="O13" i="6"/>
  <c r="Q13" i="6"/>
  <c r="B14" i="6"/>
  <c r="A13" i="6"/>
  <c r="W14" i="6" l="1"/>
  <c r="V14" i="6"/>
  <c r="Y12" i="6"/>
  <c r="P13" i="6"/>
  <c r="X13" i="6" s="1"/>
  <c r="O14" i="6"/>
  <c r="Q14" i="6"/>
  <c r="A14" i="6"/>
  <c r="B15" i="6"/>
  <c r="P14" i="6" l="1"/>
  <c r="X14" i="6"/>
  <c r="Y14" i="6"/>
  <c r="W15" i="6"/>
  <c r="V15" i="6"/>
  <c r="Y13" i="6"/>
  <c r="Q15" i="6"/>
  <c r="O15" i="6"/>
  <c r="P15" i="6" s="1"/>
  <c r="B16" i="6"/>
  <c r="A15" i="6"/>
  <c r="W16" i="6" l="1"/>
  <c r="V16" i="6"/>
  <c r="Q16" i="6"/>
  <c r="O16" i="6"/>
  <c r="P16" i="6" s="1"/>
  <c r="B17" i="6"/>
  <c r="A16" i="6"/>
  <c r="W17" i="6" l="1"/>
  <c r="V17" i="6"/>
  <c r="Q17" i="6"/>
  <c r="O17" i="6"/>
  <c r="B18" i="6"/>
  <c r="A17" i="6"/>
  <c r="W18" i="6" l="1"/>
  <c r="V18" i="6"/>
  <c r="P17" i="6"/>
  <c r="X17" i="6" s="1"/>
  <c r="O18" i="6"/>
  <c r="P18" i="6" s="1"/>
  <c r="Q18" i="6"/>
  <c r="A18" i="6"/>
  <c r="B19" i="6"/>
  <c r="W19" i="6" l="1"/>
  <c r="V19" i="6"/>
  <c r="Y17" i="6"/>
  <c r="X18" i="6"/>
  <c r="Y18" i="6"/>
  <c r="Q19" i="6"/>
  <c r="O19" i="6"/>
  <c r="B20" i="6"/>
  <c r="A19" i="6"/>
  <c r="W20" i="6" l="1"/>
  <c r="V20" i="6"/>
  <c r="P19" i="6"/>
  <c r="X19" i="6" s="1"/>
  <c r="Q20" i="6"/>
  <c r="O20" i="6"/>
  <c r="A20" i="6"/>
  <c r="B21" i="6"/>
  <c r="W21" i="6" l="1"/>
  <c r="V21" i="6"/>
  <c r="Y19" i="6"/>
  <c r="P20" i="6"/>
  <c r="X20" i="6" s="1"/>
  <c r="Q21" i="6"/>
  <c r="O21" i="6"/>
  <c r="B22" i="6"/>
  <c r="A21" i="6"/>
  <c r="P21" i="6" l="1"/>
  <c r="Y21" i="6"/>
  <c r="X21" i="6"/>
  <c r="W22" i="6"/>
  <c r="V22" i="6"/>
  <c r="Y20" i="6"/>
  <c r="O22" i="6"/>
  <c r="P22" i="6" s="1"/>
  <c r="Q22" i="6"/>
  <c r="A22" i="6"/>
  <c r="B23" i="6"/>
  <c r="W23" i="6" l="1"/>
  <c r="V23" i="6"/>
  <c r="Q23" i="6"/>
  <c r="O23" i="6"/>
  <c r="A23" i="6"/>
  <c r="B24" i="6"/>
  <c r="W24" i="6" l="1"/>
  <c r="V24" i="6"/>
  <c r="P23" i="6"/>
  <c r="Y23" i="6" s="1"/>
  <c r="Q24" i="6"/>
  <c r="O24" i="6"/>
  <c r="B25" i="6"/>
  <c r="A24" i="6"/>
  <c r="W25" i="6" l="1"/>
  <c r="V25" i="6"/>
  <c r="X23" i="6"/>
  <c r="P24" i="6"/>
  <c r="X24" i="6" s="1"/>
  <c r="O25" i="6"/>
  <c r="P25" i="6" s="1"/>
  <c r="Q25" i="6"/>
  <c r="B26" i="6"/>
  <c r="A25" i="6"/>
  <c r="W26" i="6" l="1"/>
  <c r="V26" i="6"/>
  <c r="Y24" i="6"/>
  <c r="X25" i="6"/>
  <c r="Y25" i="6"/>
  <c r="O26" i="6"/>
  <c r="Q26" i="6"/>
  <c r="A26" i="6"/>
  <c r="B27" i="6"/>
  <c r="W27" i="6" l="1"/>
  <c r="V27" i="6"/>
  <c r="P26" i="6"/>
  <c r="X26" i="6" s="1"/>
  <c r="Q27" i="6"/>
  <c r="O27" i="6"/>
  <c r="B28" i="6"/>
  <c r="A27" i="6"/>
  <c r="W28" i="6" l="1"/>
  <c r="V28" i="6"/>
  <c r="Y26" i="6"/>
  <c r="P27" i="6"/>
  <c r="Y27" i="6" s="1"/>
  <c r="Q28" i="6"/>
  <c r="O28" i="6"/>
  <c r="A28" i="6"/>
  <c r="B29" i="6"/>
  <c r="P28" i="6" l="1"/>
  <c r="X28" i="6"/>
  <c r="Y28" i="6"/>
  <c r="W29" i="6"/>
  <c r="V29" i="6"/>
  <c r="X27" i="6"/>
  <c r="O29" i="6"/>
  <c r="P29" i="6" s="1"/>
  <c r="Q29" i="6"/>
  <c r="B30" i="6"/>
  <c r="A29" i="6"/>
  <c r="W30" i="6" l="1"/>
  <c r="V30" i="6"/>
  <c r="Q30" i="6"/>
  <c r="O30" i="6"/>
  <c r="A30" i="6"/>
  <c r="B31" i="6"/>
  <c r="W31" i="6" l="1"/>
  <c r="V31" i="6"/>
  <c r="P30" i="6"/>
  <c r="X30" i="6" s="1"/>
  <c r="Q31" i="6"/>
  <c r="O31" i="6"/>
  <c r="B32" i="6"/>
  <c r="A31" i="6"/>
  <c r="W32" i="6" l="1"/>
  <c r="V32" i="6"/>
  <c r="Y30" i="6"/>
  <c r="P31" i="6"/>
  <c r="X31" i="6" s="1"/>
  <c r="O32" i="6"/>
  <c r="P32" i="6" s="1"/>
  <c r="Q32" i="6"/>
  <c r="Q34" i="6" s="1"/>
  <c r="D12" i="13" s="1"/>
  <c r="A32" i="6"/>
  <c r="B3" i="5"/>
  <c r="W3" i="5" l="1"/>
  <c r="V3" i="5"/>
  <c r="Y31" i="6"/>
  <c r="O34" i="6"/>
  <c r="B12" i="13" s="1"/>
  <c r="X32" i="6"/>
  <c r="X34" i="6" s="1"/>
  <c r="G12" i="13" s="1"/>
  <c r="Y32" i="6"/>
  <c r="O3" i="5"/>
  <c r="Q3" i="5"/>
  <c r="Z4" i="6"/>
  <c r="P34" i="6"/>
  <c r="A3" i="5"/>
  <c r="B4" i="5"/>
  <c r="AB4" i="6" l="1"/>
  <c r="AB12" i="6" s="1"/>
  <c r="AA4" i="6"/>
  <c r="AA12" i="6" s="1"/>
  <c r="AC4" i="6"/>
  <c r="AC12" i="6" s="1"/>
  <c r="AD4" i="6"/>
  <c r="W4" i="5"/>
  <c r="V4" i="5"/>
  <c r="Z12" i="6"/>
  <c r="Y34" i="6"/>
  <c r="H12" i="13" s="1"/>
  <c r="P3" i="5"/>
  <c r="Y3" i="5" s="1"/>
  <c r="Q4" i="5"/>
  <c r="O4" i="5"/>
  <c r="Z5" i="6"/>
  <c r="B5" i="5"/>
  <c r="A4" i="5"/>
  <c r="C12" i="13"/>
  <c r="E12" i="13" s="1"/>
  <c r="AB5" i="6" l="1"/>
  <c r="AB13" i="6" s="1"/>
  <c r="AC5" i="6"/>
  <c r="AC13" i="6" s="1"/>
  <c r="AA5" i="6"/>
  <c r="AA13" i="6" s="1"/>
  <c r="AD5" i="6"/>
  <c r="Z13" i="6"/>
  <c r="W5" i="5"/>
  <c r="V5" i="5"/>
  <c r="X3" i="5"/>
  <c r="P4" i="5"/>
  <c r="X4" i="5" s="1"/>
  <c r="Z6" i="6"/>
  <c r="O5" i="5"/>
  <c r="Q5" i="5"/>
  <c r="A5" i="5"/>
  <c r="B6" i="5"/>
  <c r="P5" i="5" l="1"/>
  <c r="Y5" i="5"/>
  <c r="X5" i="5"/>
  <c r="AA6" i="6"/>
  <c r="AA14" i="6" s="1"/>
  <c r="AB6" i="6"/>
  <c r="AB14" i="6" s="1"/>
  <c r="AC6" i="6"/>
  <c r="AC14" i="6" s="1"/>
  <c r="AD6" i="6"/>
  <c r="W6" i="5"/>
  <c r="V6" i="5"/>
  <c r="Z14" i="6"/>
  <c r="Y4" i="5"/>
  <c r="O6" i="5"/>
  <c r="P6" i="5" s="1"/>
  <c r="Q6" i="5"/>
  <c r="Z7" i="6"/>
  <c r="A6" i="5"/>
  <c r="B7" i="5"/>
  <c r="AA7" i="6" l="1"/>
  <c r="AA15" i="6" s="1"/>
  <c r="AB7" i="6"/>
  <c r="AB15" i="6" s="1"/>
  <c r="AC7" i="6"/>
  <c r="AC15" i="6" s="1"/>
  <c r="AD7" i="6"/>
  <c r="W7" i="5"/>
  <c r="V7" i="5"/>
  <c r="Z15" i="6"/>
  <c r="Q7" i="5"/>
  <c r="O7" i="5"/>
  <c r="Z8" i="6"/>
  <c r="A7" i="5"/>
  <c r="B8" i="5"/>
  <c r="AC8" i="6" l="1"/>
  <c r="AA8" i="6"/>
  <c r="AA16" i="6" s="1"/>
  <c r="AB8" i="6"/>
  <c r="AB16" i="6" s="1"/>
  <c r="AD8" i="6"/>
  <c r="W8" i="5"/>
  <c r="V8" i="5"/>
  <c r="AC16" i="6"/>
  <c r="Z16" i="6"/>
  <c r="P7" i="5"/>
  <c r="X7" i="5" s="1"/>
  <c r="Q8" i="5"/>
  <c r="O8" i="5"/>
  <c r="Z9" i="6"/>
  <c r="A8" i="5"/>
  <c r="B9" i="5"/>
  <c r="AB9" i="6" l="1"/>
  <c r="AC9" i="6"/>
  <c r="AA9" i="6"/>
  <c r="AA17" i="6" s="1"/>
  <c r="AD9" i="6"/>
  <c r="W9" i="5"/>
  <c r="V9" i="5"/>
  <c r="AC17" i="6"/>
  <c r="Z17" i="6"/>
  <c r="AB17" i="6"/>
  <c r="Y7" i="5"/>
  <c r="P8" i="5"/>
  <c r="Y8" i="5" s="1"/>
  <c r="Q9" i="5"/>
  <c r="O9" i="5"/>
  <c r="A9" i="5"/>
  <c r="B10" i="5"/>
  <c r="W10" i="5" l="1"/>
  <c r="V10" i="5"/>
  <c r="X8" i="5"/>
  <c r="P9" i="5"/>
  <c r="Y9" i="5" s="1"/>
  <c r="O10" i="5"/>
  <c r="Q10" i="5"/>
  <c r="A10" i="5"/>
  <c r="B11" i="5"/>
  <c r="W11" i="5" l="1"/>
  <c r="V11" i="5"/>
  <c r="P10" i="5"/>
  <c r="Y10" i="5" s="1"/>
  <c r="X9" i="5"/>
  <c r="O11" i="5"/>
  <c r="Q11" i="5"/>
  <c r="A11" i="5"/>
  <c r="B12" i="5"/>
  <c r="W12" i="5" l="1"/>
  <c r="V12" i="5"/>
  <c r="X10" i="5"/>
  <c r="P11" i="5"/>
  <c r="Y11" i="5" s="1"/>
  <c r="Q12" i="5"/>
  <c r="O12" i="5"/>
  <c r="B13" i="5"/>
  <c r="A12" i="5"/>
  <c r="W13" i="5" l="1"/>
  <c r="V13" i="5"/>
  <c r="X11" i="5"/>
  <c r="P12" i="5"/>
  <c r="X12" i="5" s="1"/>
  <c r="O13" i="5"/>
  <c r="Q13" i="5"/>
  <c r="A13" i="5"/>
  <c r="B14" i="5"/>
  <c r="W14" i="5" l="1"/>
  <c r="V14" i="5"/>
  <c r="P13" i="5"/>
  <c r="Y13" i="5" s="1"/>
  <c r="Y12" i="5"/>
  <c r="Q14" i="5"/>
  <c r="O14" i="5"/>
  <c r="A14" i="5"/>
  <c r="B15" i="5"/>
  <c r="W15" i="5" l="1"/>
  <c r="V15" i="5"/>
  <c r="X13" i="5"/>
  <c r="P14" i="5"/>
  <c r="X14" i="5" s="1"/>
  <c r="Q15" i="5"/>
  <c r="O15" i="5"/>
  <c r="A15" i="5"/>
  <c r="B16" i="5"/>
  <c r="W16" i="5" l="1"/>
  <c r="V16" i="5"/>
  <c r="Y14" i="5"/>
  <c r="P15" i="5"/>
  <c r="X15" i="5" s="1"/>
  <c r="O16" i="5"/>
  <c r="P16" i="5" s="1"/>
  <c r="Q16" i="5"/>
  <c r="B17" i="5"/>
  <c r="A16" i="5"/>
  <c r="W17" i="5" l="1"/>
  <c r="V17" i="5"/>
  <c r="Y15" i="5"/>
  <c r="X16" i="5"/>
  <c r="Y16" i="5"/>
  <c r="O17" i="5"/>
  <c r="Q17" i="5"/>
  <c r="B18" i="5"/>
  <c r="A17" i="5"/>
  <c r="W18" i="5" l="1"/>
  <c r="V18" i="5"/>
  <c r="P17" i="5"/>
  <c r="X17" i="5" s="1"/>
  <c r="O18" i="5"/>
  <c r="Q18" i="5"/>
  <c r="A18" i="5"/>
  <c r="B19" i="5"/>
  <c r="W19" i="5" l="1"/>
  <c r="V19" i="5"/>
  <c r="Y17" i="5"/>
  <c r="P18" i="5"/>
  <c r="X18" i="5" s="1"/>
  <c r="Q19" i="5"/>
  <c r="O19" i="5"/>
  <c r="B20" i="5"/>
  <c r="A19" i="5"/>
  <c r="W20" i="5" l="1"/>
  <c r="V20" i="5"/>
  <c r="Y18" i="5"/>
  <c r="P19" i="5"/>
  <c r="X19" i="5" s="1"/>
  <c r="Q20" i="5"/>
  <c r="O20" i="5"/>
  <c r="P20" i="5" s="1"/>
  <c r="B21" i="5"/>
  <c r="A20" i="5"/>
  <c r="W21" i="5" l="1"/>
  <c r="V21" i="5"/>
  <c r="Y19" i="5"/>
  <c r="O21" i="5"/>
  <c r="Q21" i="5"/>
  <c r="B22" i="5"/>
  <c r="A21" i="5"/>
  <c r="W22" i="5" l="1"/>
  <c r="V22" i="5"/>
  <c r="P21" i="5"/>
  <c r="X21" i="5" s="1"/>
  <c r="O22" i="5"/>
  <c r="Q22" i="5"/>
  <c r="A22" i="5"/>
  <c r="B23" i="5"/>
  <c r="W23" i="5" l="1"/>
  <c r="V23" i="5"/>
  <c r="Y21" i="5"/>
  <c r="P22" i="5"/>
  <c r="X22" i="5" s="1"/>
  <c r="Q23" i="5"/>
  <c r="O23" i="5"/>
  <c r="A23" i="5"/>
  <c r="B24" i="5"/>
  <c r="W24" i="5" l="1"/>
  <c r="V24" i="5"/>
  <c r="Y22" i="5"/>
  <c r="P23" i="5"/>
  <c r="X23" i="5" s="1"/>
  <c r="O24" i="5"/>
  <c r="Q24" i="5"/>
  <c r="B25" i="5"/>
  <c r="A24" i="5"/>
  <c r="P24" i="5" l="1"/>
  <c r="X24" i="5"/>
  <c r="Y24" i="5"/>
  <c r="W25" i="5"/>
  <c r="V25" i="5"/>
  <c r="Y23" i="5"/>
  <c r="Q25" i="5"/>
  <c r="O25" i="5"/>
  <c r="A25" i="5"/>
  <c r="B26" i="5"/>
  <c r="W26" i="5" l="1"/>
  <c r="V26" i="5"/>
  <c r="P25" i="5"/>
  <c r="X25" i="5" s="1"/>
  <c r="Q26" i="5"/>
  <c r="O26" i="5"/>
  <c r="A26" i="5"/>
  <c r="B27" i="5"/>
  <c r="P26" i="5" l="1"/>
  <c r="X26" i="5"/>
  <c r="Y26" i="5"/>
  <c r="W27" i="5"/>
  <c r="V27" i="5"/>
  <c r="Y25" i="5"/>
  <c r="Q27" i="5"/>
  <c r="O27" i="5"/>
  <c r="P27" i="5" s="1"/>
  <c r="B28" i="5"/>
  <c r="A27" i="5"/>
  <c r="W28" i="5" l="1"/>
  <c r="V28" i="5"/>
  <c r="Q28" i="5"/>
  <c r="O28" i="5"/>
  <c r="B29" i="5"/>
  <c r="A28" i="5"/>
  <c r="W29" i="5" l="1"/>
  <c r="V29" i="5"/>
  <c r="P28" i="5"/>
  <c r="X28" i="5" s="1"/>
  <c r="O29" i="5"/>
  <c r="Q29" i="5"/>
  <c r="A29" i="5"/>
  <c r="B30" i="5"/>
  <c r="W30" i="5" l="1"/>
  <c r="V30" i="5"/>
  <c r="Y28" i="5"/>
  <c r="P29" i="5"/>
  <c r="X29" i="5" s="1"/>
  <c r="Q30" i="5"/>
  <c r="O30" i="5"/>
  <c r="P30" i="5" s="1"/>
  <c r="B31" i="5"/>
  <c r="A30" i="5"/>
  <c r="W31" i="5" l="1"/>
  <c r="V31" i="5"/>
  <c r="Y29" i="5"/>
  <c r="X30" i="5"/>
  <c r="Y30" i="5"/>
  <c r="O31" i="5"/>
  <c r="Q31" i="5"/>
  <c r="B32" i="5"/>
  <c r="A31" i="5"/>
  <c r="W32" i="5" l="1"/>
  <c r="V32" i="5"/>
  <c r="P31" i="5"/>
  <c r="X31" i="5" s="1"/>
  <c r="Q32" i="5"/>
  <c r="O32" i="5"/>
  <c r="B33" i="5"/>
  <c r="A32" i="5"/>
  <c r="W33" i="5" l="1"/>
  <c r="V33" i="5"/>
  <c r="Y31" i="5"/>
  <c r="P32" i="5"/>
  <c r="X32" i="5" s="1"/>
  <c r="Q33" i="5"/>
  <c r="Q35" i="5" s="1"/>
  <c r="D13" i="13" s="1"/>
  <c r="O33" i="5"/>
  <c r="A33" i="5"/>
  <c r="B3" i="4"/>
  <c r="O35" i="5" l="1"/>
  <c r="B13" i="13" s="1"/>
  <c r="W3" i="4"/>
  <c r="V3" i="4"/>
  <c r="Y32" i="5"/>
  <c r="Q3" i="4"/>
  <c r="O3" i="4"/>
  <c r="P3" i="4" s="1"/>
  <c r="P33" i="5"/>
  <c r="P35" i="5" s="1"/>
  <c r="C13" i="13" s="1"/>
  <c r="E13" i="13" s="1"/>
  <c r="Z4" i="5"/>
  <c r="B4" i="4"/>
  <c r="A3" i="4"/>
  <c r="X33" i="5" l="1"/>
  <c r="X35" i="5" s="1"/>
  <c r="G13" i="13" s="1"/>
  <c r="Y33" i="5"/>
  <c r="Y35" i="5" s="1"/>
  <c r="H13" i="13" s="1"/>
  <c r="AA4" i="5"/>
  <c r="AA12" i="5" s="1"/>
  <c r="AD4" i="5"/>
  <c r="W4" i="4"/>
  <c r="V4" i="4"/>
  <c r="Z12" i="5"/>
  <c r="AC4" i="5"/>
  <c r="AC12" i="5" s="1"/>
  <c r="AB4" i="5"/>
  <c r="AB12" i="5" s="1"/>
  <c r="Z5" i="5"/>
  <c r="Q4" i="4"/>
  <c r="O4" i="4"/>
  <c r="P4" i="4" s="1"/>
  <c r="B5" i="4"/>
  <c r="A4" i="4"/>
  <c r="AA5" i="5" l="1"/>
  <c r="AA13" i="5" s="1"/>
  <c r="AD5" i="5"/>
  <c r="AB5" i="5"/>
  <c r="AB13" i="5" s="1"/>
  <c r="Z13" i="5"/>
  <c r="AC5" i="5"/>
  <c r="AC13" i="5" s="1"/>
  <c r="W5" i="4"/>
  <c r="V5" i="4"/>
  <c r="Q5" i="4"/>
  <c r="O5" i="4"/>
  <c r="Z6" i="5"/>
  <c r="B6" i="4"/>
  <c r="A5" i="4"/>
  <c r="AA6" i="5" l="1"/>
  <c r="AA14" i="5" s="1"/>
  <c r="AD6" i="5"/>
  <c r="AC6" i="5"/>
  <c r="AC14" i="5" s="1"/>
  <c r="Z14" i="5"/>
  <c r="W6" i="4"/>
  <c r="V6" i="4"/>
  <c r="AB6" i="5"/>
  <c r="AB14" i="5" s="1"/>
  <c r="P5" i="4"/>
  <c r="X5" i="4" s="1"/>
  <c r="Z7" i="5"/>
  <c r="Q6" i="4"/>
  <c r="O6" i="4"/>
  <c r="A6" i="4"/>
  <c r="B7" i="4"/>
  <c r="AA7" i="5" l="1"/>
  <c r="AD7" i="5"/>
  <c r="AC7" i="5"/>
  <c r="AC15" i="5" s="1"/>
  <c r="Z15" i="5"/>
  <c r="W7" i="4"/>
  <c r="V7" i="4"/>
  <c r="AB7" i="5"/>
  <c r="AB15" i="5" s="1"/>
  <c r="Y5" i="4"/>
  <c r="P6" i="4"/>
  <c r="X6" i="4" s="1"/>
  <c r="O7" i="4"/>
  <c r="Q7" i="4"/>
  <c r="AA15" i="5"/>
  <c r="Z8" i="5"/>
  <c r="A7" i="4"/>
  <c r="B8" i="4"/>
  <c r="AA8" i="5" l="1"/>
  <c r="AD8" i="5"/>
  <c r="W8" i="4"/>
  <c r="V8" i="4"/>
  <c r="AC8" i="5"/>
  <c r="AC16" i="5" s="1"/>
  <c r="Z16" i="5"/>
  <c r="AB8" i="5"/>
  <c r="AB16" i="5" s="1"/>
  <c r="O8" i="4"/>
  <c r="Y6" i="4"/>
  <c r="P7" i="4"/>
  <c r="X7" i="4" s="1"/>
  <c r="Q8" i="4"/>
  <c r="AA16" i="5"/>
  <c r="Z9" i="5"/>
  <c r="A8" i="4"/>
  <c r="B9" i="4"/>
  <c r="AA9" i="5" l="1"/>
  <c r="AD9" i="5"/>
  <c r="W9" i="4"/>
  <c r="V9" i="4"/>
  <c r="Z17" i="5"/>
  <c r="AC9" i="5"/>
  <c r="AC17" i="5" s="1"/>
  <c r="AB9" i="5"/>
  <c r="AB17" i="5" s="1"/>
  <c r="AA17" i="5"/>
  <c r="P8" i="4"/>
  <c r="X8" i="4" s="1"/>
  <c r="Y7" i="4"/>
  <c r="Q9" i="4"/>
  <c r="O9" i="4"/>
  <c r="B10" i="4"/>
  <c r="A9" i="4"/>
  <c r="W10" i="4" l="1"/>
  <c r="V10" i="4"/>
  <c r="Y8" i="4"/>
  <c r="P9" i="4"/>
  <c r="X9" i="4" s="1"/>
  <c r="O10" i="4"/>
  <c r="P10" i="4" s="1"/>
  <c r="Q10" i="4"/>
  <c r="B11" i="4"/>
  <c r="A10" i="4"/>
  <c r="W11" i="4" l="1"/>
  <c r="V11" i="4"/>
  <c r="Q11" i="4"/>
  <c r="O11" i="4"/>
  <c r="P11" i="4" s="1"/>
  <c r="Y9" i="4"/>
  <c r="A11" i="4"/>
  <c r="B12" i="4"/>
  <c r="W12" i="4" l="1"/>
  <c r="V12" i="4"/>
  <c r="O12" i="4"/>
  <c r="P12" i="4" s="1"/>
  <c r="Q12" i="4"/>
  <c r="X11" i="4"/>
  <c r="B13" i="4"/>
  <c r="A12" i="4"/>
  <c r="W13" i="4" l="1"/>
  <c r="V13" i="4"/>
  <c r="Q13" i="4"/>
  <c r="O13" i="4"/>
  <c r="Y11" i="4"/>
  <c r="X12" i="4"/>
  <c r="B14" i="4"/>
  <c r="A13" i="4"/>
  <c r="P13" i="4" l="1"/>
  <c r="X13" i="4"/>
  <c r="Y13" i="4"/>
  <c r="W14" i="4"/>
  <c r="V14" i="4"/>
  <c r="Q14" i="4"/>
  <c r="O14" i="4"/>
  <c r="P14" i="4" s="1"/>
  <c r="Y12" i="4"/>
  <c r="A14" i="4"/>
  <c r="B15" i="4"/>
  <c r="W15" i="4" l="1"/>
  <c r="V15" i="4"/>
  <c r="O15" i="4"/>
  <c r="P15" i="4" s="1"/>
  <c r="Q15" i="4"/>
  <c r="X14" i="4"/>
  <c r="A15" i="4"/>
  <c r="B16" i="4"/>
  <c r="W16" i="4" l="1"/>
  <c r="V16" i="4"/>
  <c r="Q16" i="4"/>
  <c r="O16" i="4"/>
  <c r="Y14" i="4"/>
  <c r="X15" i="4"/>
  <c r="A16" i="4"/>
  <c r="B17" i="4"/>
  <c r="P16" i="4" l="1"/>
  <c r="X16" i="4" s="1"/>
  <c r="Y16" i="4"/>
  <c r="W17" i="4"/>
  <c r="V17" i="4"/>
  <c r="Y15" i="4"/>
  <c r="Q17" i="4"/>
  <c r="O17" i="4"/>
  <c r="P17" i="4" s="1"/>
  <c r="B18" i="4"/>
  <c r="A17" i="4"/>
  <c r="W18" i="4" l="1"/>
  <c r="V18" i="4"/>
  <c r="O18" i="4"/>
  <c r="Q18" i="4"/>
  <c r="B19" i="4"/>
  <c r="A18" i="4"/>
  <c r="W19" i="4" l="1"/>
  <c r="V19" i="4"/>
  <c r="P18" i="4"/>
  <c r="Y18" i="4" s="1"/>
  <c r="O19" i="4"/>
  <c r="Q19" i="4"/>
  <c r="A19" i="4"/>
  <c r="B20" i="4"/>
  <c r="W20" i="4" l="1"/>
  <c r="V20" i="4"/>
  <c r="X18" i="4"/>
  <c r="P19" i="4"/>
  <c r="Y19" i="4" s="1"/>
  <c r="Q20" i="4"/>
  <c r="O20" i="4"/>
  <c r="B21" i="4"/>
  <c r="A20" i="4"/>
  <c r="W21" i="4" l="1"/>
  <c r="V21" i="4"/>
  <c r="P20" i="4"/>
  <c r="Y20" i="4" s="1"/>
  <c r="X19" i="4"/>
  <c r="O21" i="4"/>
  <c r="Q21" i="4"/>
  <c r="B22" i="4"/>
  <c r="A21" i="4"/>
  <c r="P21" i="4" l="1"/>
  <c r="Y21" i="4"/>
  <c r="X21" i="4"/>
  <c r="W22" i="4"/>
  <c r="V22" i="4"/>
  <c r="X20" i="4"/>
  <c r="O22" i="4"/>
  <c r="Q22" i="4"/>
  <c r="A22" i="4"/>
  <c r="B23" i="4"/>
  <c r="P22" i="4" l="1"/>
  <c r="X22" i="4" s="1"/>
  <c r="Y22" i="4"/>
  <c r="W23" i="4"/>
  <c r="V23" i="4"/>
  <c r="Q23" i="4"/>
  <c r="O23" i="4"/>
  <c r="A23" i="4"/>
  <c r="B24" i="4"/>
  <c r="P23" i="4" l="1"/>
  <c r="X23" i="4" s="1"/>
  <c r="Y23" i="4"/>
  <c r="W24" i="4"/>
  <c r="V24" i="4"/>
  <c r="Q24" i="4"/>
  <c r="O24" i="4"/>
  <c r="P24" i="4" s="1"/>
  <c r="A24" i="4"/>
  <c r="B25" i="4"/>
  <c r="W25" i="4" l="1"/>
  <c r="V25" i="4"/>
  <c r="Q25" i="4"/>
  <c r="O25" i="4"/>
  <c r="P25" i="4" s="1"/>
  <c r="B26" i="4"/>
  <c r="A25" i="4"/>
  <c r="W26" i="4" l="1"/>
  <c r="V26" i="4"/>
  <c r="O26" i="4"/>
  <c r="Q26" i="4"/>
  <c r="B27" i="4"/>
  <c r="A26" i="4"/>
  <c r="P26" i="4" l="1"/>
  <c r="Y26" i="4"/>
  <c r="X26" i="4"/>
  <c r="W27" i="4"/>
  <c r="V27" i="4"/>
  <c r="Q27" i="4"/>
  <c r="O27" i="4"/>
  <c r="A27" i="4"/>
  <c r="B28" i="4"/>
  <c r="P27" i="4" l="1"/>
  <c r="X27" i="4"/>
  <c r="Y27" i="4"/>
  <c r="W28" i="4"/>
  <c r="V28" i="4"/>
  <c r="Q28" i="4"/>
  <c r="O28" i="4"/>
  <c r="B29" i="4"/>
  <c r="A28" i="4"/>
  <c r="P28" i="4" l="1"/>
  <c r="X28" i="4"/>
  <c r="Y28" i="4"/>
  <c r="W29" i="4"/>
  <c r="V29" i="4"/>
  <c r="O29" i="4"/>
  <c r="Q29" i="4"/>
  <c r="B30" i="4"/>
  <c r="A29" i="4"/>
  <c r="P29" i="4" l="1"/>
  <c r="X29" i="4" s="1"/>
  <c r="Y29" i="4"/>
  <c r="W30" i="4"/>
  <c r="V30" i="4"/>
  <c r="O30" i="4"/>
  <c r="Q30" i="4"/>
  <c r="A30" i="4"/>
  <c r="B31" i="4"/>
  <c r="P30" i="4" l="1"/>
  <c r="X30" i="4"/>
  <c r="X34" i="4" s="1"/>
  <c r="G14" i="13" s="1"/>
  <c r="Y30" i="4"/>
  <c r="Y34" i="4" s="1"/>
  <c r="H14" i="13" s="1"/>
  <c r="W31" i="4"/>
  <c r="V31" i="4"/>
  <c r="Q31" i="4"/>
  <c r="O31" i="4"/>
  <c r="P31" i="4" s="1"/>
  <c r="A31" i="4"/>
  <c r="B32" i="4"/>
  <c r="W32" i="4" l="1"/>
  <c r="V32" i="4"/>
  <c r="Q32" i="4"/>
  <c r="Q34" i="4" s="1"/>
  <c r="D14" i="13" s="1"/>
  <c r="O32" i="4"/>
  <c r="O34" i="4" s="1"/>
  <c r="B14" i="13" s="1"/>
  <c r="B3" i="3"/>
  <c r="A32" i="4"/>
  <c r="W3" i="3" l="1"/>
  <c r="V3" i="3"/>
  <c r="O3" i="3"/>
  <c r="Q3" i="3"/>
  <c r="P32" i="4"/>
  <c r="P34" i="4" s="1"/>
  <c r="Z4" i="4"/>
  <c r="A3" i="3"/>
  <c r="B4" i="3"/>
  <c r="P3" i="3" l="1"/>
  <c r="X3" i="3"/>
  <c r="Y3" i="3"/>
  <c r="AB4" i="4"/>
  <c r="AB12" i="4" s="1"/>
  <c r="AA4" i="4"/>
  <c r="AA12" i="4" s="1"/>
  <c r="AC4" i="4"/>
  <c r="AC12" i="4" s="1"/>
  <c r="AD4" i="4"/>
  <c r="Z12" i="4"/>
  <c r="W4" i="3"/>
  <c r="V4" i="3"/>
  <c r="Z5" i="4"/>
  <c r="O4" i="3"/>
  <c r="Q4" i="3"/>
  <c r="B5" i="3"/>
  <c r="A4" i="3"/>
  <c r="C14" i="13"/>
  <c r="E14" i="13" s="1"/>
  <c r="P4" i="3" l="1"/>
  <c r="X4" i="3"/>
  <c r="Y4" i="3"/>
  <c r="AA5" i="4"/>
  <c r="AA13" i="4" s="1"/>
  <c r="AB5" i="4"/>
  <c r="AB13" i="4" s="1"/>
  <c r="AC5" i="4"/>
  <c r="AC13" i="4" s="1"/>
  <c r="AD5" i="4"/>
  <c r="W5" i="3"/>
  <c r="V5" i="3"/>
  <c r="Z13" i="4"/>
  <c r="O5" i="3"/>
  <c r="Q5" i="3"/>
  <c r="Z6" i="4"/>
  <c r="B6" i="3"/>
  <c r="A5" i="3"/>
  <c r="P5" i="3" l="1"/>
  <c r="Y5" i="3"/>
  <c r="X5" i="3"/>
  <c r="AA6" i="4"/>
  <c r="AA14" i="4" s="1"/>
  <c r="AB6" i="4"/>
  <c r="AB14" i="4" s="1"/>
  <c r="AC6" i="4"/>
  <c r="AC14" i="4" s="1"/>
  <c r="AD6" i="4"/>
  <c r="W6" i="3"/>
  <c r="V6" i="3"/>
  <c r="Z14" i="4"/>
  <c r="Q6" i="3"/>
  <c r="O6" i="3"/>
  <c r="Z7" i="4"/>
  <c r="B7" i="3"/>
  <c r="A6" i="3"/>
  <c r="P6" i="3" l="1"/>
  <c r="Y6" i="3"/>
  <c r="X6" i="3"/>
  <c r="AC7" i="4"/>
  <c r="AC15" i="4" s="1"/>
  <c r="AA7" i="4"/>
  <c r="AA15" i="4" s="1"/>
  <c r="AB7" i="4"/>
  <c r="AB15" i="4" s="1"/>
  <c r="AD7" i="4"/>
  <c r="Z15" i="4"/>
  <c r="W7" i="3"/>
  <c r="V7" i="3"/>
  <c r="Z8" i="4"/>
  <c r="Q7" i="3"/>
  <c r="O7" i="3"/>
  <c r="B8" i="3"/>
  <c r="A7" i="3"/>
  <c r="P7" i="3" l="1"/>
  <c r="X7" i="3" s="1"/>
  <c r="Y7" i="3"/>
  <c r="AA8" i="4"/>
  <c r="AA16" i="4" s="1"/>
  <c r="AC8" i="4"/>
  <c r="AC16" i="4" s="1"/>
  <c r="AB8" i="4"/>
  <c r="AB16" i="4" s="1"/>
  <c r="AD8" i="4"/>
  <c r="W8" i="3"/>
  <c r="V8" i="3"/>
  <c r="Z16" i="4"/>
  <c r="Q8" i="3"/>
  <c r="O8" i="3"/>
  <c r="P8" i="3" s="1"/>
  <c r="Z9" i="4"/>
  <c r="A8" i="3"/>
  <c r="B9" i="3"/>
  <c r="AA9" i="4" l="1"/>
  <c r="AB9" i="4"/>
  <c r="AB17" i="4" s="1"/>
  <c r="AC9" i="4"/>
  <c r="AC17" i="4" s="1"/>
  <c r="AD9" i="4"/>
  <c r="W9" i="3"/>
  <c r="V9" i="3"/>
  <c r="Z17" i="4"/>
  <c r="AA17" i="4"/>
  <c r="Q9" i="3"/>
  <c r="O9" i="3"/>
  <c r="B10" i="3"/>
  <c r="A9" i="3"/>
  <c r="W10" i="3" l="1"/>
  <c r="V10" i="3"/>
  <c r="P9" i="3"/>
  <c r="X9" i="3" s="1"/>
  <c r="Q10" i="3"/>
  <c r="O10" i="3"/>
  <c r="A10" i="3"/>
  <c r="B11" i="3"/>
  <c r="W11" i="3" l="1"/>
  <c r="V11" i="3"/>
  <c r="Y9" i="3"/>
  <c r="P10" i="3"/>
  <c r="X10" i="3" s="1"/>
  <c r="O11" i="3"/>
  <c r="Q11" i="3"/>
  <c r="B12" i="3"/>
  <c r="A11" i="3"/>
  <c r="W12" i="3" l="1"/>
  <c r="V12" i="3"/>
  <c r="P11" i="3"/>
  <c r="X11" i="3" s="1"/>
  <c r="Y10" i="3"/>
  <c r="O12" i="3"/>
  <c r="Q12" i="3"/>
  <c r="B13" i="3"/>
  <c r="A12" i="3"/>
  <c r="W13" i="3" l="1"/>
  <c r="V13" i="3"/>
  <c r="P12" i="3"/>
  <c r="X12" i="3" s="1"/>
  <c r="Y11" i="3"/>
  <c r="Q13" i="3"/>
  <c r="O13" i="3"/>
  <c r="B14" i="3"/>
  <c r="A13" i="3"/>
  <c r="W14" i="3" l="1"/>
  <c r="V14" i="3"/>
  <c r="P13" i="3"/>
  <c r="Y13" i="3" s="1"/>
  <c r="Y12" i="3"/>
  <c r="O14" i="3"/>
  <c r="Q14" i="3"/>
  <c r="B15" i="3"/>
  <c r="A14" i="3"/>
  <c r="P14" i="3" l="1"/>
  <c r="X14" i="3"/>
  <c r="Y14" i="3"/>
  <c r="W15" i="3"/>
  <c r="V15" i="3"/>
  <c r="X13" i="3"/>
  <c r="Q15" i="3"/>
  <c r="O15" i="3"/>
  <c r="P15" i="3" s="1"/>
  <c r="B16" i="3"/>
  <c r="A15" i="3"/>
  <c r="W16" i="3" l="1"/>
  <c r="V16" i="3"/>
  <c r="A16" i="3"/>
  <c r="Q16" i="3"/>
  <c r="O16" i="3"/>
  <c r="B17" i="3"/>
  <c r="W17" i="3" l="1"/>
  <c r="V17" i="3"/>
  <c r="P16" i="3"/>
  <c r="X16" i="3" s="1"/>
  <c r="Q17" i="3"/>
  <c r="O17" i="3"/>
  <c r="B18" i="3"/>
  <c r="A17" i="3"/>
  <c r="W18" i="3" l="1"/>
  <c r="V18" i="3"/>
  <c r="P17" i="3"/>
  <c r="X17" i="3" s="1"/>
  <c r="Y16" i="3"/>
  <c r="O18" i="3"/>
  <c r="Q18" i="3"/>
  <c r="A18" i="3"/>
  <c r="B19" i="3"/>
  <c r="W19" i="3" l="1"/>
  <c r="V19" i="3"/>
  <c r="Y17" i="3"/>
  <c r="P18" i="3"/>
  <c r="Y18" i="3" s="1"/>
  <c r="O19" i="3"/>
  <c r="Q19" i="3"/>
  <c r="A19" i="3"/>
  <c r="B20" i="3"/>
  <c r="W20" i="3" l="1"/>
  <c r="V20" i="3"/>
  <c r="P19" i="3"/>
  <c r="Y19" i="3" s="1"/>
  <c r="X18" i="3"/>
  <c r="Q20" i="3"/>
  <c r="O20" i="3"/>
  <c r="B21" i="3"/>
  <c r="A20" i="3"/>
  <c r="W21" i="3" l="1"/>
  <c r="V21" i="3"/>
  <c r="X19" i="3"/>
  <c r="P20" i="3"/>
  <c r="X20" i="3" s="1"/>
  <c r="O21" i="3"/>
  <c r="Q21" i="3"/>
  <c r="A21" i="3"/>
  <c r="B22" i="3"/>
  <c r="P21" i="3" l="1"/>
  <c r="X21" i="3"/>
  <c r="Y21" i="3"/>
  <c r="W22" i="3"/>
  <c r="V22" i="3"/>
  <c r="Y20" i="3"/>
  <c r="O22" i="3"/>
  <c r="P22" i="3" s="1"/>
  <c r="Q22" i="3"/>
  <c r="A22" i="3"/>
  <c r="B23" i="3"/>
  <c r="W23" i="3" l="1"/>
  <c r="V23" i="3"/>
  <c r="Q23" i="3"/>
  <c r="O23" i="3"/>
  <c r="B24" i="3"/>
  <c r="A23" i="3"/>
  <c r="W24" i="3" l="1"/>
  <c r="V24" i="3"/>
  <c r="P23" i="3"/>
  <c r="X23" i="3" s="1"/>
  <c r="Q24" i="3"/>
  <c r="O24" i="3"/>
  <c r="A24" i="3"/>
  <c r="B25" i="3"/>
  <c r="W25" i="3" l="1"/>
  <c r="V25" i="3"/>
  <c r="Y23" i="3"/>
  <c r="P24" i="3"/>
  <c r="X24" i="3" s="1"/>
  <c r="Q25" i="3"/>
  <c r="O25" i="3"/>
  <c r="A25" i="3"/>
  <c r="B26" i="3"/>
  <c r="W26" i="3" l="1"/>
  <c r="V26" i="3"/>
  <c r="P25" i="3"/>
  <c r="X25" i="3" s="1"/>
  <c r="Y24" i="3"/>
  <c r="O26" i="3"/>
  <c r="Q26" i="3"/>
  <c r="A26" i="3"/>
  <c r="B27" i="3"/>
  <c r="P26" i="3" l="1"/>
  <c r="X26" i="3" s="1"/>
  <c r="Y26" i="3"/>
  <c r="W27" i="3"/>
  <c r="V27" i="3"/>
  <c r="Y25" i="3"/>
  <c r="Q27" i="3"/>
  <c r="O27" i="3"/>
  <c r="A27" i="3"/>
  <c r="B28" i="3"/>
  <c r="P27" i="3" l="1"/>
  <c r="X27" i="3" s="1"/>
  <c r="Y27" i="3"/>
  <c r="W28" i="3"/>
  <c r="V28" i="3"/>
  <c r="Q28" i="3"/>
  <c r="O28" i="3"/>
  <c r="B29" i="3"/>
  <c r="A28" i="3"/>
  <c r="P28" i="3" l="1"/>
  <c r="Y28" i="3" s="1"/>
  <c r="X28" i="3"/>
  <c r="W29" i="3"/>
  <c r="V29" i="3"/>
  <c r="O29" i="3"/>
  <c r="P29" i="3" s="1"/>
  <c r="Q29" i="3"/>
  <c r="A29" i="3"/>
  <c r="B30" i="3"/>
  <c r="W30" i="3" l="1"/>
  <c r="V30" i="3"/>
  <c r="O30" i="3"/>
  <c r="Q30" i="3"/>
  <c r="A30" i="3"/>
  <c r="B31" i="3"/>
  <c r="W31" i="3" l="1"/>
  <c r="V31" i="3"/>
  <c r="P30" i="3"/>
  <c r="X30" i="3" s="1"/>
  <c r="Q31" i="3"/>
  <c r="O31" i="3"/>
  <c r="B32" i="3"/>
  <c r="A31" i="3"/>
  <c r="P31" i="3" l="1"/>
  <c r="Y31" i="3" s="1"/>
  <c r="W32" i="3"/>
  <c r="V32" i="3"/>
  <c r="Y30" i="3"/>
  <c r="Q32" i="3"/>
  <c r="O32" i="3"/>
  <c r="A32" i="3"/>
  <c r="B33" i="3"/>
  <c r="P32" i="3" l="1"/>
  <c r="X32" i="3"/>
  <c r="Y32" i="3"/>
  <c r="X31" i="3"/>
  <c r="W33" i="3"/>
  <c r="V33" i="3"/>
  <c r="O33" i="3"/>
  <c r="Q33" i="3"/>
  <c r="Q35" i="3" s="1"/>
  <c r="D15" i="13" s="1"/>
  <c r="D16" i="13" s="1"/>
  <c r="D17" i="13" s="1"/>
  <c r="A33" i="3"/>
  <c r="O35" i="3" l="1"/>
  <c r="B15" i="13" s="1"/>
  <c r="P33" i="3"/>
  <c r="P35" i="3" s="1"/>
  <c r="Z4" i="3"/>
  <c r="Y33" i="3" l="1"/>
  <c r="Y35" i="3" s="1"/>
  <c r="H15" i="13" s="1"/>
  <c r="H16" i="13" s="1"/>
  <c r="X33" i="3"/>
  <c r="X35" i="3" s="1"/>
  <c r="G15" i="13" s="1"/>
  <c r="G16" i="13" s="1"/>
  <c r="AA4" i="3"/>
  <c r="AA12" i="3" s="1"/>
  <c r="AD4" i="3"/>
  <c r="Z12" i="3"/>
  <c r="AC4" i="3"/>
  <c r="AC12" i="3" s="1"/>
  <c r="AB4" i="3"/>
  <c r="AB12" i="3" s="1"/>
  <c r="Z5" i="3"/>
  <c r="C15" i="13"/>
  <c r="E15" i="13" s="1"/>
  <c r="H18" i="13" l="1"/>
  <c r="AA5" i="3"/>
  <c r="AA13" i="3" s="1"/>
  <c r="AD5" i="3"/>
  <c r="AB5" i="3"/>
  <c r="AB13" i="3" s="1"/>
  <c r="Z13" i="3"/>
  <c r="AC5" i="3"/>
  <c r="AC13" i="3" s="1"/>
  <c r="Z6" i="3"/>
  <c r="C16" i="13"/>
  <c r="C17" i="13" s="1"/>
  <c r="AA6" i="3" l="1"/>
  <c r="AA14" i="3" s="1"/>
  <c r="AD6" i="3"/>
  <c r="Z14" i="3"/>
  <c r="AC6" i="3"/>
  <c r="AC14" i="3" s="1"/>
  <c r="AB6" i="3"/>
  <c r="AB14" i="3" s="1"/>
  <c r="Z7" i="3"/>
  <c r="O35" i="1"/>
  <c r="B4" i="13" s="1"/>
  <c r="E4" i="13" s="1"/>
  <c r="AA7" i="3" l="1"/>
  <c r="AA15" i="3" s="1"/>
  <c r="AD7" i="3"/>
  <c r="AC7" i="3"/>
  <c r="AC15" i="3" s="1"/>
  <c r="Z15" i="3"/>
  <c r="AB7" i="3"/>
  <c r="AB15" i="3" s="1"/>
  <c r="Z8" i="3"/>
  <c r="B16" i="13"/>
  <c r="B17" i="13" s="1"/>
  <c r="H79" i="13" s="1"/>
  <c r="E16" i="13"/>
  <c r="E17" i="13" s="1"/>
  <c r="H81" i="13" l="1"/>
  <c r="O26" i="13" s="1"/>
  <c r="AA8" i="3"/>
  <c r="AD8" i="3"/>
  <c r="Z16" i="3"/>
  <c r="AC8" i="3"/>
  <c r="AC16" i="3" s="1"/>
  <c r="AB8" i="3"/>
  <c r="E37" i="13"/>
  <c r="F37" i="13" s="1"/>
  <c r="AA16" i="3"/>
  <c r="Z9" i="3"/>
  <c r="E25" i="13" s="1"/>
  <c r="F25" i="13" s="1"/>
  <c r="AB16" i="3" l="1"/>
  <c r="E75" i="13"/>
  <c r="F75" i="13" s="1"/>
  <c r="AA9" i="3"/>
  <c r="AD9" i="3"/>
  <c r="E22" i="13"/>
  <c r="F22" i="13" s="1"/>
  <c r="E36" i="13"/>
  <c r="F36" i="13" s="1"/>
  <c r="Z17" i="3"/>
  <c r="AC9" i="3"/>
  <c r="AC17" i="3" s="1"/>
  <c r="E34" i="13"/>
  <c r="F34" i="13" s="1"/>
  <c r="E54" i="13"/>
  <c r="F54" i="13" s="1"/>
  <c r="AB9" i="3"/>
  <c r="AB17" i="3" s="1"/>
  <c r="E55" i="13"/>
  <c r="F55" i="13" s="1"/>
  <c r="E62" i="13"/>
  <c r="F62" i="13" s="1"/>
  <c r="E61" i="13"/>
  <c r="F61" i="13" s="1"/>
  <c r="E72" i="13"/>
  <c r="F72" i="13" s="1"/>
  <c r="E48" i="13"/>
  <c r="F48" i="13" s="1"/>
  <c r="E33" i="13"/>
  <c r="F33" i="13" s="1"/>
  <c r="E70" i="13"/>
  <c r="F70" i="13" s="1"/>
  <c r="E69" i="13"/>
  <c r="F69" i="13" s="1"/>
  <c r="E65" i="13"/>
  <c r="F65" i="13" s="1"/>
  <c r="E32" i="13"/>
  <c r="F32" i="13" s="1"/>
  <c r="E38" i="13"/>
  <c r="F38" i="13" s="1"/>
  <c r="E68" i="13"/>
  <c r="F68" i="13" s="1"/>
  <c r="E64" i="13"/>
  <c r="F64" i="13" s="1"/>
  <c r="E42" i="13"/>
  <c r="F42" i="13" s="1"/>
  <c r="E67" i="13"/>
  <c r="F67" i="13" s="1"/>
  <c r="E31" i="13"/>
  <c r="F31" i="13" s="1"/>
  <c r="E40" i="13"/>
  <c r="F40" i="13" s="1"/>
  <c r="E39" i="13"/>
  <c r="F39" i="13" s="1"/>
  <c r="E30" i="13"/>
  <c r="F30" i="13" s="1"/>
  <c r="E63" i="13"/>
  <c r="F63" i="13" s="1"/>
  <c r="E56" i="13"/>
  <c r="F56" i="13" s="1"/>
  <c r="E52" i="13"/>
  <c r="F52" i="13" s="1"/>
  <c r="E29" i="13"/>
  <c r="F29" i="13" s="1"/>
  <c r="E74" i="13"/>
  <c r="F74" i="13" s="1"/>
  <c r="E26" i="13"/>
  <c r="F26" i="13" s="1"/>
  <c r="E50" i="13"/>
  <c r="F50" i="13" s="1"/>
  <c r="E45" i="13"/>
  <c r="F45" i="13" s="1"/>
  <c r="E59" i="13"/>
  <c r="F59" i="13" s="1"/>
  <c r="E47" i="13"/>
  <c r="F47" i="13" s="1"/>
  <c r="E27" i="13"/>
  <c r="F27" i="13" s="1"/>
  <c r="E58" i="13"/>
  <c r="F58" i="13" s="1"/>
  <c r="E23" i="13"/>
  <c r="F23" i="13" s="1"/>
  <c r="E66" i="13"/>
  <c r="F66" i="13" s="1"/>
  <c r="E28" i="13"/>
  <c r="F28" i="13" s="1"/>
  <c r="E53" i="13"/>
  <c r="F53" i="13" s="1"/>
  <c r="E43" i="13"/>
  <c r="F43" i="13" s="1"/>
  <c r="E49" i="13"/>
  <c r="F49" i="13" s="1"/>
  <c r="E57" i="13"/>
  <c r="F57" i="13" s="1"/>
  <c r="E41" i="13"/>
  <c r="F41" i="13" s="1"/>
  <c r="E73" i="13"/>
  <c r="F73" i="13" s="1"/>
  <c r="E71" i="13"/>
  <c r="F71" i="13" s="1"/>
  <c r="E46" i="13"/>
  <c r="F46" i="13" s="1"/>
  <c r="E44" i="13"/>
  <c r="F44" i="13" s="1"/>
  <c r="E60" i="13"/>
  <c r="F60" i="13" s="1"/>
  <c r="E35" i="13"/>
  <c r="F35" i="13" s="1"/>
  <c r="E24" i="13"/>
  <c r="F24" i="13" s="1"/>
  <c r="E51" i="13"/>
  <c r="F51" i="13" s="1"/>
  <c r="AA17" i="3"/>
  <c r="O28" i="13" l="1"/>
  <c r="F76" i="13" l="1"/>
  <c r="O22" i="13" s="1"/>
  <c r="O24" i="13" s="1"/>
  <c r="G76" i="13"/>
  <c r="O30" i="13" s="1"/>
</calcChain>
</file>

<file path=xl/sharedStrings.xml><?xml version="1.0" encoding="utf-8"?>
<sst xmlns="http://schemas.openxmlformats.org/spreadsheetml/2006/main" count="662" uniqueCount="141">
  <si>
    <t>Werkuren</t>
  </si>
  <si>
    <t>Speciale Dagen</t>
  </si>
  <si>
    <t>Overuren</t>
  </si>
  <si>
    <t>Zon- en Feestdag</t>
  </si>
  <si>
    <t>Project</t>
  </si>
  <si>
    <t>Kostprijs</t>
  </si>
  <si>
    <t>Opbrengst</t>
  </si>
  <si>
    <t>Start</t>
  </si>
  <si>
    <t>Einde</t>
  </si>
  <si>
    <t>Pauze</t>
  </si>
  <si>
    <t>Code</t>
  </si>
  <si>
    <t>Duur</t>
  </si>
  <si>
    <t>u:mm</t>
  </si>
  <si>
    <t>, getal</t>
  </si>
  <si>
    <t>WEEK</t>
  </si>
  <si>
    <t>Totaal:</t>
  </si>
  <si>
    <t>ZZW</t>
  </si>
  <si>
    <t>VAK</t>
  </si>
  <si>
    <t>BF</t>
  </si>
  <si>
    <t>JAAROVERZICHT UREN</t>
  </si>
  <si>
    <t>Zon-en Feestdagen</t>
  </si>
  <si>
    <t>Totaal</t>
  </si>
  <si>
    <t>ADV</t>
  </si>
  <si>
    <t>AO</t>
  </si>
  <si>
    <t>ECW</t>
  </si>
  <si>
    <t>FAM</t>
  </si>
  <si>
    <t>GMZ</t>
  </si>
  <si>
    <t>GWT</t>
  </si>
  <si>
    <t>GWZ</t>
  </si>
  <si>
    <t>KV</t>
  </si>
  <si>
    <t>LB</t>
  </si>
  <si>
    <t>OGA</t>
  </si>
  <si>
    <t>OPL</t>
  </si>
  <si>
    <t>SV</t>
  </si>
  <si>
    <t>TA</t>
  </si>
  <si>
    <t>VV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</si>
  <si>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</si>
  <si>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</si>
  <si>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</si>
  <si>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</si>
  <si>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</si>
  <si>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</si>
  <si>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</si>
  <si>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</si>
  <si>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</si>
  <si>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</si>
  <si>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</si>
  <si>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</si>
  <si>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WINST:</t>
  </si>
  <si>
    <t>Begindatum  :</t>
  </si>
  <si>
    <t>Naam:</t>
  </si>
  <si>
    <t>Vanaf</t>
  </si>
  <si>
    <t>Loonskost /uur</t>
  </si>
  <si>
    <t>Vaste kost /dag</t>
  </si>
  <si>
    <t>Loonsopbrengst /uur</t>
  </si>
  <si>
    <t>Vaste opbrengst /dag</t>
  </si>
  <si>
    <t>Betaalde feestdagen</t>
  </si>
  <si>
    <t>Speciale dagen</t>
  </si>
  <si>
    <t>Nieuwjaar</t>
  </si>
  <si>
    <t>Pasen</t>
  </si>
  <si>
    <t>Dag vd Arbeid</t>
  </si>
  <si>
    <t>Hemelvaart</t>
  </si>
  <si>
    <t>Pinksteren</t>
  </si>
  <si>
    <t>Nationale feestdag</t>
  </si>
  <si>
    <t>O.L.V.</t>
  </si>
  <si>
    <t>Allerheiligen</t>
  </si>
  <si>
    <t>Wapenstilstand</t>
  </si>
  <si>
    <t>Kerstdag</t>
  </si>
  <si>
    <t>Kilometers</t>
  </si>
  <si>
    <t>onbetaalde recupuren</t>
  </si>
  <si>
    <t>betaalde feestdag</t>
  </si>
  <si>
    <t>arbeidsongeval</t>
  </si>
  <si>
    <t>technische werkloosheid</t>
  </si>
  <si>
    <t>familiaal verlof</t>
  </si>
  <si>
    <t>1ste week ziekte</t>
  </si>
  <si>
    <t>2de week ziekte</t>
  </si>
  <si>
    <t>klein verlet</t>
  </si>
  <si>
    <t>loopbaanonderbreking</t>
  </si>
  <si>
    <t>ongewettigde afwezigheid</t>
  </si>
  <si>
    <t>betaalde opleiding</t>
  </si>
  <si>
    <t>sollicitatieverlof</t>
  </si>
  <si>
    <t>toegestane afwezigheid</t>
  </si>
  <si>
    <t>vakantie</t>
  </si>
  <si>
    <t>verlof vorig jaar</t>
  </si>
  <si>
    <t>ziekte zonder loon , +30dagen ziekte</t>
  </si>
  <si>
    <t>Totaal ,</t>
  </si>
  <si>
    <t>BIR</t>
  </si>
  <si>
    <t>Totaal opgespaarde overuren:</t>
  </si>
  <si>
    <t>Totaal opgenomen overuren:</t>
  </si>
  <si>
    <t>Nog op te nemen overuren:</t>
  </si>
  <si>
    <t>TOTAAL OVERUREN:</t>
  </si>
  <si>
    <t>betaalde inhaalrust</t>
  </si>
  <si>
    <t>Vertrek</t>
  </si>
  <si>
    <t>Aankomst</t>
  </si>
  <si>
    <t>heen</t>
  </si>
  <si>
    <t>terug</t>
  </si>
  <si>
    <t>Totale uren</t>
  </si>
  <si>
    <t>Weeknummer</t>
  </si>
  <si>
    <t>Overuren Uitbetalen?</t>
  </si>
  <si>
    <t>Overuren à     100% of 150%</t>
  </si>
  <si>
    <t>Uren/week</t>
  </si>
  <si>
    <t>JA</t>
  </si>
  <si>
    <t>Overuren uitbetalen</t>
  </si>
  <si>
    <t>NACHT?:</t>
  </si>
  <si>
    <t>JA/NEE?</t>
  </si>
  <si>
    <t>NEE</t>
  </si>
  <si>
    <t>Percentage</t>
  </si>
  <si>
    <t>Reisuren</t>
  </si>
  <si>
    <t>Halve/ hele dag</t>
  </si>
  <si>
    <t>KMs</t>
  </si>
  <si>
    <t>Opmerkingen</t>
  </si>
  <si>
    <t>Teveel privé:</t>
  </si>
  <si>
    <t>Totaal km's:</t>
  </si>
  <si>
    <t>Totaal liantis:</t>
  </si>
  <si>
    <t>FD</t>
  </si>
  <si>
    <t>Week</t>
  </si>
  <si>
    <t>ADV teller</t>
  </si>
  <si>
    <t>Uren die tellen voor ADV teller</t>
  </si>
  <si>
    <t>Urenstelsels</t>
  </si>
  <si>
    <t>Totaal opgespaarde ADV dagen:</t>
  </si>
  <si>
    <t>Totaal opgenomen ADV dagen:</t>
  </si>
  <si>
    <t>Nog beschikbare ADV dagen:</t>
  </si>
  <si>
    <t>Relance uren</t>
  </si>
  <si>
    <t>Overuren/week opsparen</t>
  </si>
  <si>
    <t>Totaal uitbetaalde relance overuren:</t>
  </si>
  <si>
    <t>Pinkstermaandag</t>
  </si>
  <si>
    <t>Paasmaandag</t>
  </si>
  <si>
    <t>Dagen voor MC's vorig jaar:</t>
  </si>
  <si>
    <t>Totaal dagen voor MC's:</t>
  </si>
  <si>
    <t>Dag &gt; 5u gewerkt</t>
  </si>
  <si>
    <t>MC teller</t>
  </si>
  <si>
    <t>Dagen voor MC's dit jaar:</t>
  </si>
  <si>
    <t>3-4 week ziekte</t>
  </si>
  <si>
    <t>Mobiliteit</t>
  </si>
  <si>
    <t>Bedrag /km teveel ger.</t>
  </si>
  <si>
    <t>Weekgrens</t>
  </si>
  <si>
    <t>#ADV uren mogelijk bij geen uitval:</t>
  </si>
  <si>
    <t>#uren die tellen voor ADV:</t>
  </si>
  <si>
    <t>#opgebouwde ADV uren:</t>
  </si>
  <si>
    <t>= telt mee voor ADV</t>
  </si>
  <si>
    <t>Onder een nieuwe regel moet altijd 31/12/2026 staan!!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</si>
</sst>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\ &quot;€&quot;;[Red]\-#,##0.00\ &quot;€&quot;"/>
    <numFmt numFmtId="165" formatCode="dd\-mm\-yy"/>
    <numFmt numFmtId="166" formatCode="mmmmm"/>
    <numFmt numFmtId="167" formatCode="[h]:mm"/>
    <numFmt numFmtId="168" formatCode="mmm"/>
    <numFmt numFmtId="169" formatCode="0.00000"/>
    <numFmt numFmtId="170" formatCode="#,##0.00\ &quot;€&quot;"/>
    <numFmt numFmtId="171" formatCode="#,##0.00\ [$BEF]"/>
    <numFmt numFmtId="172" formatCode="&quot;€&quot;\ #,##0.00"/>
    <numFmt numFmtId="173" formatCode="&quot;€&quot;\ #,##0.0000"/>
    <numFmt numFmtId="174" formatCode="#,##0.000\ &quot;€&quot;"/>
    <numFmt numFmtId="175" formatCode="h:mm;@"/>
    <numFmt numFmtId="176" formatCode="0.0"/>
    <numFmt numFmtId="177" formatCode="0.0000"/>
  </numFmts>
  <fonts count="13" x14ac:knownFonts="1">
    <font>
      <sz val="12"/>
      <name val="Times New Roman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334">
    <xf numFmtId="0" fontId="0" fillId="0" borderId="0" xfId="0"/>
    <xf numFmtId="165" fontId="3" fillId="0" borderId="0" xfId="0" applyNumberFormat="1" applyFont="1" applyProtection="1">
      <protection locked="0"/>
    </xf>
    <xf numFmtId="0" fontId="3" fillId="0" borderId="0" xfId="0" applyFont="1" applyProtection="1">
      <protection hidden="1"/>
    </xf>
    <xf numFmtId="20" fontId="3" fillId="0" borderId="0" xfId="0" applyNumberFormat="1" applyFont="1" applyProtection="1">
      <protection hidden="1"/>
    </xf>
    <xf numFmtId="0" fontId="3" fillId="0" borderId="0" xfId="0" applyFont="1" applyProtection="1">
      <protection locked="0"/>
    </xf>
    <xf numFmtId="20" fontId="3" fillId="0" borderId="0" xfId="0" applyNumberFormat="1" applyFont="1" applyProtection="1">
      <protection locked="0"/>
    </xf>
    <xf numFmtId="20" fontId="2" fillId="0" borderId="0" xfId="0" applyNumberFormat="1" applyFont="1" applyProtection="1">
      <protection hidden="1"/>
    </xf>
    <xf numFmtId="20" fontId="1" fillId="0" borderId="0" xfId="0" applyNumberFormat="1" applyFont="1" applyProtection="1">
      <protection hidden="1"/>
    </xf>
    <xf numFmtId="165" fontId="3" fillId="0" borderId="0" xfId="0" applyNumberFormat="1" applyFont="1" applyProtection="1">
      <protection hidden="1"/>
    </xf>
    <xf numFmtId="20" fontId="2" fillId="0" borderId="0" xfId="0" applyNumberFormat="1" applyFont="1" applyProtection="1">
      <protection locked="0"/>
    </xf>
    <xf numFmtId="1" fontId="3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1" fontId="3" fillId="0" borderId="0" xfId="0" applyNumberFormat="1" applyFont="1" applyProtection="1">
      <protection hidden="1"/>
    </xf>
    <xf numFmtId="20" fontId="5" fillId="0" borderId="0" xfId="0" applyNumberFormat="1" applyFont="1" applyProtection="1">
      <protection hidden="1"/>
    </xf>
    <xf numFmtId="167" fontId="2" fillId="2" borderId="0" xfId="0" applyNumberFormat="1" applyFont="1" applyFill="1" applyProtection="1">
      <protection hidden="1"/>
    </xf>
    <xf numFmtId="167" fontId="1" fillId="2" borderId="0" xfId="0" applyNumberFormat="1" applyFont="1" applyFill="1" applyProtection="1">
      <protection hidden="1"/>
    </xf>
    <xf numFmtId="167" fontId="3" fillId="2" borderId="0" xfId="0" applyNumberFormat="1" applyFont="1" applyFill="1" applyProtection="1">
      <protection hidden="1"/>
    </xf>
    <xf numFmtId="0" fontId="3" fillId="0" borderId="0" xfId="0" applyFont="1" applyAlignment="1" applyProtection="1">
      <alignment horizontal="center"/>
      <protection locked="0"/>
    </xf>
    <xf numFmtId="166" fontId="0" fillId="0" borderId="0" xfId="0" applyNumberFormat="1" applyProtection="1">
      <protection hidden="1"/>
    </xf>
    <xf numFmtId="167" fontId="0" fillId="0" borderId="0" xfId="0" applyNumberFormat="1" applyAlignment="1" applyProtection="1">
      <alignment horizontal="center"/>
      <protection hidden="1"/>
    </xf>
    <xf numFmtId="166" fontId="0" fillId="0" borderId="0" xfId="0" applyNumberFormat="1" applyProtection="1"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0" fillId="0" borderId="0" xfId="0" applyProtection="1">
      <protection hidden="1"/>
    </xf>
    <xf numFmtId="0" fontId="3" fillId="0" borderId="0" xfId="0" applyFont="1"/>
    <xf numFmtId="169" fontId="3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4" fontId="3" fillId="0" borderId="0" xfId="0" applyNumberFormat="1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hidden="1"/>
    </xf>
    <xf numFmtId="170" fontId="3" fillId="0" borderId="0" xfId="0" applyNumberFormat="1" applyFont="1" applyProtection="1">
      <protection locked="0"/>
    </xf>
    <xf numFmtId="170" fontId="3" fillId="2" borderId="0" xfId="0" applyNumberFormat="1" applyFont="1" applyFill="1" applyProtection="1">
      <protection locked="0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165" fontId="0" fillId="0" borderId="6" xfId="0" applyNumberFormat="1" applyBorder="1" applyAlignment="1" applyProtection="1">
      <alignment horizontal="center"/>
      <protection locked="0"/>
    </xf>
    <xf numFmtId="165" fontId="0" fillId="0" borderId="7" xfId="0" applyNumberFormat="1" applyBorder="1" applyAlignment="1" applyProtection="1">
      <alignment horizontal="center"/>
      <protection locked="0"/>
    </xf>
    <xf numFmtId="10" fontId="0" fillId="0" borderId="0" xfId="0" applyNumberFormat="1" applyAlignment="1" applyProtection="1">
      <alignment horizontal="center"/>
      <protection hidden="1"/>
    </xf>
    <xf numFmtId="2" fontId="0" fillId="0" borderId="0" xfId="0" applyNumberFormat="1"/>
    <xf numFmtId="2" fontId="3" fillId="0" borderId="0" xfId="0" applyNumberFormat="1" applyFont="1" applyProtection="1">
      <protection hidden="1"/>
    </xf>
    <xf numFmtId="0" fontId="3" fillId="0" borderId="0" xfId="0" applyFont="1" applyAlignment="1" applyProtection="1">
      <alignment horizontal="left"/>
      <protection locked="0"/>
    </xf>
    <xf numFmtId="20" fontId="1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2" fontId="3" fillId="0" borderId="0" xfId="0" applyNumberFormat="1" applyFont="1" applyAlignment="1" applyProtection="1">
      <alignment horizontal="center"/>
      <protection hidden="1"/>
    </xf>
    <xf numFmtId="167" fontId="0" fillId="0" borderId="0" xfId="0" applyNumberFormat="1" applyProtection="1"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167" fontId="0" fillId="0" borderId="13" xfId="0" applyNumberFormat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167" fontId="0" fillId="0" borderId="1" xfId="0" applyNumberFormat="1" applyBorder="1" applyAlignment="1" applyProtection="1">
      <alignment horizontal="center"/>
      <protection hidden="1"/>
    </xf>
    <xf numFmtId="167" fontId="0" fillId="0" borderId="2" xfId="0" applyNumberFormat="1" applyBorder="1" applyAlignment="1" applyProtection="1">
      <alignment horizontal="center"/>
      <protection hidden="1"/>
    </xf>
    <xf numFmtId="166" fontId="0" fillId="0" borderId="15" xfId="0" applyNumberFormat="1" applyBorder="1" applyProtection="1">
      <protection hidden="1"/>
    </xf>
    <xf numFmtId="167" fontId="8" fillId="0" borderId="17" xfId="0" applyNumberFormat="1" applyFont="1" applyBorder="1" applyAlignment="1" applyProtection="1">
      <alignment horizontal="center"/>
      <protection hidden="1"/>
    </xf>
    <xf numFmtId="167" fontId="8" fillId="0" borderId="10" xfId="0" applyNumberFormat="1" applyFont="1" applyBorder="1" applyAlignment="1" applyProtection="1">
      <alignment horizontal="center"/>
      <protection hidden="1"/>
    </xf>
    <xf numFmtId="9" fontId="2" fillId="0" borderId="0" xfId="0" applyNumberFormat="1" applyFont="1" applyAlignment="1" applyProtection="1">
      <alignment horizontal="center"/>
      <protection hidden="1"/>
    </xf>
    <xf numFmtId="167" fontId="3" fillId="0" borderId="0" xfId="0" applyNumberFormat="1" applyFont="1" applyProtection="1">
      <protection locked="0"/>
    </xf>
    <xf numFmtId="14" fontId="0" fillId="0" borderId="0" xfId="0" applyNumberFormat="1"/>
    <xf numFmtId="165" fontId="0" fillId="0" borderId="8" xfId="0" applyNumberFormat="1" applyBorder="1" applyAlignment="1" applyProtection="1">
      <alignment horizontal="center"/>
      <protection locked="0"/>
    </xf>
    <xf numFmtId="9" fontId="9" fillId="0" borderId="0" xfId="0" applyNumberFormat="1" applyFont="1" applyAlignment="1" applyProtection="1">
      <alignment horizontal="center"/>
      <protection hidden="1"/>
    </xf>
    <xf numFmtId="170" fontId="3" fillId="0" borderId="9" xfId="0" applyNumberFormat="1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1" fontId="3" fillId="0" borderId="20" xfId="0" applyNumberFormat="1" applyFont="1" applyBorder="1" applyAlignment="1" applyProtection="1">
      <alignment horizontal="center"/>
      <protection locked="0"/>
    </xf>
    <xf numFmtId="1" fontId="3" fillId="0" borderId="21" xfId="0" applyNumberFormat="1" applyFont="1" applyBorder="1" applyAlignment="1" applyProtection="1">
      <alignment horizontal="center"/>
      <protection locked="0"/>
    </xf>
    <xf numFmtId="1" fontId="3" fillId="0" borderId="22" xfId="0" applyNumberFormat="1" applyFont="1" applyBorder="1" applyAlignment="1" applyProtection="1">
      <alignment horizontal="center"/>
      <protection locked="0"/>
    </xf>
    <xf numFmtId="167" fontId="3" fillId="0" borderId="7" xfId="0" applyNumberFormat="1" applyFont="1" applyBorder="1" applyAlignment="1" applyProtection="1">
      <alignment horizontal="center"/>
      <protection locked="0"/>
    </xf>
    <xf numFmtId="0" fontId="3" fillId="0" borderId="4" xfId="0" applyFont="1" applyBorder="1"/>
    <xf numFmtId="2" fontId="3" fillId="0" borderId="4" xfId="0" applyNumberFormat="1" applyFont="1" applyBorder="1"/>
    <xf numFmtId="172" fontId="3" fillId="0" borderId="4" xfId="0" applyNumberFormat="1" applyFont="1" applyBorder="1"/>
    <xf numFmtId="173" fontId="8" fillId="0" borderId="16" xfId="0" applyNumberFormat="1" applyFont="1" applyBorder="1" applyAlignment="1">
      <alignment horizontal="center"/>
    </xf>
    <xf numFmtId="20" fontId="2" fillId="0" borderId="0" xfId="0" applyNumberFormat="1" applyFont="1" applyAlignment="1" applyProtection="1">
      <alignment horizontal="center"/>
      <protection locked="0"/>
    </xf>
    <xf numFmtId="20" fontId="9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hidden="1"/>
    </xf>
    <xf numFmtId="20" fontId="9" fillId="0" borderId="0" xfId="0" applyNumberFormat="1" applyFont="1" applyAlignment="1" applyProtection="1">
      <alignment horizontal="center"/>
      <protection hidden="1"/>
    </xf>
    <xf numFmtId="167" fontId="6" fillId="2" borderId="0" xfId="0" applyNumberFormat="1" applyFont="1" applyFill="1" applyAlignment="1" applyProtection="1">
      <alignment horizont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9" fillId="2" borderId="0" xfId="0" applyNumberFormat="1" applyFont="1" applyFill="1" applyAlignment="1" applyProtection="1">
      <alignment horizontal="center"/>
      <protection hidden="1"/>
    </xf>
    <xf numFmtId="2" fontId="6" fillId="2" borderId="0" xfId="0" applyNumberFormat="1" applyFont="1" applyFill="1" applyAlignment="1" applyProtection="1">
      <alignment horizontal="center"/>
      <protection hidden="1"/>
    </xf>
    <xf numFmtId="20" fontId="3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Alignment="1" applyProtection="1">
      <alignment horizontal="left"/>
      <protection locked="0"/>
    </xf>
    <xf numFmtId="170" fontId="3" fillId="0" borderId="0" xfId="0" applyNumberFormat="1" applyFont="1" applyAlignment="1" applyProtection="1">
      <alignment horizontal="left"/>
      <protection locked="0"/>
    </xf>
    <xf numFmtId="20" fontId="3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20" fontId="3" fillId="0" borderId="0" xfId="0" applyNumberFormat="1" applyFont="1" applyAlignment="1" applyProtection="1">
      <alignment horizontal="left"/>
      <protection hidden="1"/>
    </xf>
    <xf numFmtId="169" fontId="3" fillId="0" borderId="0" xfId="0" applyNumberFormat="1" applyFont="1" applyAlignment="1" applyProtection="1">
      <alignment horizontal="left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65" fontId="3" fillId="0" borderId="0" xfId="0" applyNumberFormat="1" applyFont="1" applyAlignment="1" applyProtection="1">
      <alignment horizontal="left"/>
      <protection locked="0"/>
    </xf>
    <xf numFmtId="4" fontId="3" fillId="0" borderId="0" xfId="0" applyNumberFormat="1" applyFont="1" applyAlignment="1" applyProtection="1">
      <alignment horizontal="left"/>
      <protection locked="0"/>
    </xf>
    <xf numFmtId="20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67" fontId="3" fillId="2" borderId="0" xfId="0" applyNumberFormat="1" applyFont="1" applyFill="1" applyAlignment="1" applyProtection="1">
      <alignment horizontal="center"/>
      <protection hidden="1"/>
    </xf>
    <xf numFmtId="2" fontId="3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70" fontId="3" fillId="2" borderId="0" xfId="0" applyNumberFormat="1" applyFont="1" applyFill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2" fontId="3" fillId="0" borderId="0" xfId="0" applyNumberFormat="1" applyFont="1" applyAlignment="1" applyProtection="1">
      <alignment horizontal="left"/>
      <protection hidden="1"/>
    </xf>
    <xf numFmtId="20" fontId="2" fillId="0" borderId="0" xfId="0" applyNumberFormat="1" applyFont="1" applyAlignment="1" applyProtection="1">
      <alignment horizontal="left"/>
      <protection hidden="1"/>
    </xf>
    <xf numFmtId="20" fontId="1" fillId="0" borderId="0" xfId="0" applyNumberFormat="1" applyFont="1" applyAlignment="1" applyProtection="1">
      <alignment horizontal="left"/>
      <protection hidden="1"/>
    </xf>
    <xf numFmtId="170" fontId="6" fillId="2" borderId="0" xfId="0" applyNumberFormat="1" applyFont="1" applyFill="1" applyAlignment="1" applyProtection="1">
      <alignment horizontal="center"/>
      <protection hidden="1"/>
    </xf>
    <xf numFmtId="2" fontId="3" fillId="2" borderId="0" xfId="0" applyNumberFormat="1" applyFont="1" applyFill="1" applyProtection="1">
      <protection hidden="1"/>
    </xf>
    <xf numFmtId="167" fontId="3" fillId="0" borderId="0" xfId="0" applyNumberFormat="1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9" fontId="0" fillId="0" borderId="11" xfId="0" applyNumberFormat="1" applyBorder="1" applyAlignment="1" applyProtection="1">
      <alignment horizontal="center"/>
      <protection hidden="1"/>
    </xf>
    <xf numFmtId="172" fontId="0" fillId="0" borderId="8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72" fontId="8" fillId="0" borderId="11" xfId="0" applyNumberFormat="1" applyFont="1" applyBorder="1" applyAlignment="1" applyProtection="1">
      <alignment horizontal="center"/>
      <protection locked="0"/>
    </xf>
    <xf numFmtId="9" fontId="10" fillId="0" borderId="10" xfId="0" applyNumberFormat="1" applyFont="1" applyBorder="1" applyAlignment="1" applyProtection="1">
      <alignment horizontal="center"/>
      <protection hidden="1"/>
    </xf>
    <xf numFmtId="167" fontId="10" fillId="0" borderId="13" xfId="0" applyNumberFormat="1" applyFont="1" applyBorder="1" applyAlignment="1" applyProtection="1">
      <alignment horizontal="center"/>
      <protection hidden="1"/>
    </xf>
    <xf numFmtId="167" fontId="10" fillId="0" borderId="12" xfId="0" applyNumberFormat="1" applyFont="1" applyBorder="1" applyAlignment="1" applyProtection="1">
      <alignment horizontal="center"/>
      <protection hidden="1"/>
    </xf>
    <xf numFmtId="167" fontId="11" fillId="0" borderId="10" xfId="0" applyNumberFormat="1" applyFont="1" applyBorder="1" applyAlignment="1" applyProtection="1">
      <alignment horizontal="center"/>
      <protection hidden="1"/>
    </xf>
    <xf numFmtId="9" fontId="9" fillId="0" borderId="10" xfId="0" applyNumberFormat="1" applyFont="1" applyBorder="1" applyAlignment="1" applyProtection="1">
      <alignment horizontal="center"/>
      <protection hidden="1"/>
    </xf>
    <xf numFmtId="167" fontId="9" fillId="0" borderId="13" xfId="0" applyNumberFormat="1" applyFont="1" applyBorder="1" applyAlignment="1" applyProtection="1">
      <alignment horizontal="center"/>
      <protection hidden="1"/>
    </xf>
    <xf numFmtId="167" fontId="9" fillId="0" borderId="12" xfId="0" applyNumberFormat="1" applyFont="1" applyBorder="1" applyAlignment="1" applyProtection="1">
      <alignment horizontal="center"/>
      <protection hidden="1"/>
    </xf>
    <xf numFmtId="167" fontId="12" fillId="0" borderId="10" xfId="0" applyNumberFormat="1" applyFont="1" applyBorder="1" applyAlignment="1" applyProtection="1">
      <alignment horizontal="center"/>
      <protection hidden="1"/>
    </xf>
    <xf numFmtId="0" fontId="0" fillId="0" borderId="4" xfId="0" applyBorder="1"/>
    <xf numFmtId="0" fontId="0" fillId="0" borderId="5" xfId="0" applyBorder="1"/>
    <xf numFmtId="9" fontId="0" fillId="0" borderId="0" xfId="0" applyNumberFormat="1" applyAlignment="1" applyProtection="1">
      <alignment horizontal="center"/>
      <protection hidden="1"/>
    </xf>
    <xf numFmtId="168" fontId="0" fillId="0" borderId="4" xfId="0" applyNumberFormat="1" applyBorder="1" applyAlignment="1" applyProtection="1">
      <alignment horizontal="right"/>
      <protection hidden="1"/>
    </xf>
    <xf numFmtId="166" fontId="8" fillId="0" borderId="16" xfId="0" applyNumberFormat="1" applyFont="1" applyBorder="1" applyAlignment="1" applyProtection="1">
      <alignment horizontal="right"/>
      <protection hidden="1"/>
    </xf>
    <xf numFmtId="168" fontId="0" fillId="0" borderId="14" xfId="0" applyNumberFormat="1" applyBorder="1" applyAlignment="1" applyProtection="1">
      <alignment horizontal="right"/>
      <protection hidden="1"/>
    </xf>
    <xf numFmtId="168" fontId="0" fillId="0" borderId="23" xfId="0" applyNumberFormat="1" applyBorder="1" applyAlignment="1" applyProtection="1">
      <alignment horizontal="right"/>
      <protection hidden="1"/>
    </xf>
    <xf numFmtId="168" fontId="0" fillId="0" borderId="24" xfId="0" applyNumberFormat="1" applyBorder="1" applyAlignment="1" applyProtection="1">
      <alignment horizontal="right"/>
      <protection hidden="1"/>
    </xf>
    <xf numFmtId="166" fontId="8" fillId="0" borderId="18" xfId="0" applyNumberFormat="1" applyFont="1" applyBorder="1" applyAlignment="1" applyProtection="1">
      <alignment horizontal="right"/>
      <protection hidden="1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7" fontId="0" fillId="0" borderId="10" xfId="0" applyNumberFormat="1" applyBorder="1" applyAlignment="1" applyProtection="1">
      <alignment horizontal="center"/>
      <protection locked="0"/>
    </xf>
    <xf numFmtId="167" fontId="0" fillId="0" borderId="11" xfId="0" applyNumberFormat="1" applyBorder="1" applyAlignment="1" applyProtection="1">
      <alignment horizontal="center"/>
      <protection locked="0"/>
    </xf>
    <xf numFmtId="167" fontId="0" fillId="0" borderId="17" xfId="0" applyNumberFormat="1" applyBorder="1" applyAlignment="1" applyProtection="1">
      <alignment horizontal="center"/>
      <protection locked="0"/>
    </xf>
    <xf numFmtId="0" fontId="3" fillId="0" borderId="14" xfId="0" applyFont="1" applyBorder="1"/>
    <xf numFmtId="3" fontId="3" fillId="0" borderId="17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167" fontId="0" fillId="0" borderId="26" xfId="0" applyNumberFormat="1" applyBorder="1" applyAlignment="1" applyProtection="1">
      <alignment horizontal="center"/>
      <protection locked="0"/>
    </xf>
    <xf numFmtId="167" fontId="0" fillId="0" borderId="27" xfId="0" applyNumberFormat="1" applyBorder="1" applyAlignment="1" applyProtection="1">
      <alignment horizontal="center"/>
      <protection locked="0"/>
    </xf>
    <xf numFmtId="167" fontId="0" fillId="0" borderId="12" xfId="0" applyNumberFormat="1" applyBorder="1" applyAlignment="1" applyProtection="1">
      <alignment horizontal="center"/>
      <protection hidden="1"/>
    </xf>
    <xf numFmtId="167" fontId="0" fillId="0" borderId="6" xfId="0" applyNumberFormat="1" applyBorder="1" applyAlignment="1" applyProtection="1">
      <alignment horizontal="center"/>
      <protection hidden="1"/>
    </xf>
    <xf numFmtId="167" fontId="0" fillId="0" borderId="28" xfId="0" applyNumberFormat="1" applyBorder="1" applyAlignment="1" applyProtection="1">
      <alignment horizontal="center"/>
      <protection hidden="1"/>
    </xf>
    <xf numFmtId="167" fontId="0" fillId="0" borderId="7" xfId="0" applyNumberFormat="1" applyBorder="1" applyAlignment="1" applyProtection="1">
      <alignment horizontal="center"/>
      <protection hidden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0" fontId="3" fillId="0" borderId="0" xfId="0" applyNumberFormat="1" applyFont="1" applyAlignment="1" applyProtection="1">
      <alignment horizontal="center"/>
      <protection locked="0"/>
    </xf>
    <xf numFmtId="170" fontId="6" fillId="0" borderId="0" xfId="0" applyNumberFormat="1" applyFont="1" applyAlignment="1" applyProtection="1">
      <alignment horizontal="center"/>
      <protection hidden="1"/>
    </xf>
    <xf numFmtId="9" fontId="3" fillId="0" borderId="11" xfId="0" applyNumberFormat="1" applyFont="1" applyBorder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right"/>
      <protection locked="0"/>
    </xf>
    <xf numFmtId="170" fontId="8" fillId="0" borderId="19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Protection="1">
      <protection locked="0"/>
    </xf>
    <xf numFmtId="9" fontId="3" fillId="0" borderId="0" xfId="0" applyNumberFormat="1" applyFont="1" applyAlignment="1" applyProtection="1">
      <alignment horizontal="center"/>
      <protection hidden="1"/>
    </xf>
    <xf numFmtId="20" fontId="3" fillId="0" borderId="0" xfId="0" applyNumberFormat="1" applyFont="1" applyAlignment="1" applyProtection="1">
      <alignment horizontal="center"/>
      <protection locked="0"/>
    </xf>
    <xf numFmtId="20" fontId="3" fillId="0" borderId="0" xfId="0" applyNumberFormat="1" applyFont="1" applyAlignment="1" applyProtection="1">
      <alignment horizontal="center"/>
      <protection hidden="1"/>
    </xf>
    <xf numFmtId="0" fontId="9" fillId="0" borderId="0" xfId="0" applyFont="1" applyProtection="1">
      <protection locked="0"/>
    </xf>
    <xf numFmtId="4" fontId="8" fillId="0" borderId="11" xfId="0" applyNumberFormat="1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6" fillId="2" borderId="0" xfId="0" applyNumberFormat="1" applyFont="1" applyFill="1" applyAlignment="1" applyProtection="1">
      <alignment horizontal="center"/>
      <protection hidden="1"/>
    </xf>
    <xf numFmtId="1" fontId="3" fillId="2" borderId="0" xfId="0" applyNumberFormat="1" applyFont="1" applyFill="1" applyAlignment="1" applyProtection="1">
      <alignment horizontal="center"/>
      <protection locked="0"/>
    </xf>
    <xf numFmtId="175" fontId="3" fillId="0" borderId="0" xfId="0" applyNumberFormat="1" applyFont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right"/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2" fontId="0" fillId="0" borderId="11" xfId="0" applyNumberFormat="1" applyBorder="1" applyAlignment="1" applyProtection="1">
      <alignment horizontal="center"/>
      <protection locked="0"/>
    </xf>
    <xf numFmtId="1" fontId="0" fillId="0" borderId="4" xfId="0" applyNumberFormat="1" applyBorder="1" applyProtection="1">
      <protection locked="0"/>
    </xf>
    <xf numFmtId="20" fontId="0" fillId="0" borderId="0" xfId="0" applyNumberFormat="1" applyProtection="1">
      <protection locked="0"/>
    </xf>
    <xf numFmtId="1" fontId="0" fillId="0" borderId="5" xfId="0" applyNumberFormat="1" applyBorder="1" applyProtection="1">
      <protection locked="0"/>
    </xf>
    <xf numFmtId="167" fontId="8" fillId="0" borderId="19" xfId="0" applyNumberFormat="1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167" fontId="3" fillId="0" borderId="35" xfId="0" applyNumberFormat="1" applyFont="1" applyBorder="1" applyAlignment="1" applyProtection="1">
      <alignment horizontal="center"/>
      <protection locked="0"/>
    </xf>
    <xf numFmtId="167" fontId="3" fillId="0" borderId="36" xfId="0" applyNumberFormat="1" applyFont="1" applyBorder="1" applyAlignment="1" applyProtection="1">
      <alignment horizontal="center"/>
      <protection locked="0"/>
    </xf>
    <xf numFmtId="167" fontId="3" fillId="0" borderId="27" xfId="0" applyNumberFormat="1" applyFont="1" applyBorder="1" applyAlignment="1" applyProtection="1">
      <alignment horizontal="center"/>
      <protection locked="0"/>
    </xf>
    <xf numFmtId="167" fontId="3" fillId="0" borderId="6" xfId="0" applyNumberFormat="1" applyFont="1" applyBorder="1" applyAlignment="1" applyProtection="1">
      <alignment horizontal="center"/>
      <protection locked="0"/>
    </xf>
    <xf numFmtId="1" fontId="3" fillId="3" borderId="0" xfId="0" applyNumberFormat="1" applyFont="1" applyFill="1" applyAlignment="1" applyProtection="1">
      <alignment horizontal="center"/>
      <protection locked="0"/>
    </xf>
    <xf numFmtId="1" fontId="0" fillId="0" borderId="3" xfId="0" applyNumberFormat="1" applyBorder="1" applyProtection="1"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 wrapText="1"/>
      <protection locked="0"/>
    </xf>
    <xf numFmtId="0" fontId="8" fillId="0" borderId="10" xfId="0" applyFont="1" applyBorder="1" applyAlignment="1" applyProtection="1">
      <alignment horizontal="center" wrapText="1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right"/>
      <protection locked="0"/>
    </xf>
    <xf numFmtId="170" fontId="8" fillId="0" borderId="0" xfId="0" applyNumberFormat="1" applyFont="1" applyAlignment="1" applyProtection="1">
      <alignment horizontal="center"/>
      <protection locked="0"/>
    </xf>
    <xf numFmtId="0" fontId="3" fillId="0" borderId="5" xfId="0" applyFont="1" applyBorder="1"/>
    <xf numFmtId="0" fontId="3" fillId="0" borderId="0" xfId="0" applyFont="1" applyAlignment="1">
      <alignment horizontal="right"/>
    </xf>
    <xf numFmtId="9" fontId="3" fillId="0" borderId="14" xfId="0" applyNumberFormat="1" applyFont="1" applyBorder="1" applyAlignment="1">
      <alignment horizontal="left"/>
    </xf>
    <xf numFmtId="9" fontId="3" fillId="0" borderId="5" xfId="0" applyNumberFormat="1" applyFont="1" applyBorder="1" applyAlignment="1">
      <alignment horizontal="left"/>
    </xf>
    <xf numFmtId="9" fontId="0" fillId="0" borderId="13" xfId="0" applyNumberFormat="1" applyBorder="1" applyAlignment="1" applyProtection="1">
      <alignment horizontal="center"/>
      <protection locked="0"/>
    </xf>
    <xf numFmtId="1" fontId="0" fillId="0" borderId="13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67" fontId="0" fillId="0" borderId="25" xfId="0" applyNumberFormat="1" applyBorder="1" applyAlignment="1" applyProtection="1">
      <alignment horizontal="center"/>
      <protection hidden="1"/>
    </xf>
    <xf numFmtId="167" fontId="0" fillId="0" borderId="20" xfId="0" applyNumberFormat="1" applyBorder="1" applyAlignment="1" applyProtection="1">
      <alignment horizontal="center"/>
      <protection locked="0"/>
    </xf>
    <xf numFmtId="167" fontId="0" fillId="0" borderId="21" xfId="0" applyNumberFormat="1" applyBorder="1" applyAlignment="1" applyProtection="1">
      <alignment horizontal="center"/>
      <protection locked="0"/>
    </xf>
    <xf numFmtId="176" fontId="3" fillId="0" borderId="0" xfId="0" applyNumberFormat="1" applyFont="1" applyAlignment="1" applyProtection="1">
      <alignment horizontal="center"/>
      <protection locked="0"/>
    </xf>
    <xf numFmtId="176" fontId="3" fillId="0" borderId="0" xfId="0" applyNumberFormat="1" applyFont="1" applyProtection="1">
      <protection locked="0"/>
    </xf>
    <xf numFmtId="176" fontId="3" fillId="0" borderId="0" xfId="0" applyNumberFormat="1" applyFont="1" applyAlignment="1" applyProtection="1">
      <alignment horizontal="right"/>
      <protection locked="0"/>
    </xf>
    <xf numFmtId="176" fontId="0" fillId="0" borderId="26" xfId="0" applyNumberFormat="1" applyBorder="1" applyAlignment="1" applyProtection="1">
      <alignment horizontal="center"/>
      <protection locked="0"/>
    </xf>
    <xf numFmtId="176" fontId="0" fillId="0" borderId="12" xfId="0" applyNumberFormat="1" applyBorder="1" applyAlignment="1" applyProtection="1">
      <alignment horizontal="center"/>
      <protection hidden="1"/>
    </xf>
    <xf numFmtId="176" fontId="0" fillId="0" borderId="28" xfId="0" applyNumberFormat="1" applyBorder="1" applyAlignment="1" applyProtection="1">
      <alignment horizontal="center"/>
      <protection hidden="1"/>
    </xf>
    <xf numFmtId="176" fontId="0" fillId="0" borderId="10" xfId="0" applyNumberFormat="1" applyBorder="1" applyAlignment="1" applyProtection="1">
      <alignment horizontal="center"/>
      <protection locked="0"/>
    </xf>
    <xf numFmtId="176" fontId="0" fillId="0" borderId="25" xfId="0" applyNumberFormat="1" applyBorder="1" applyAlignment="1" applyProtection="1">
      <alignment horizontal="center"/>
      <protection locked="0"/>
    </xf>
    <xf numFmtId="176" fontId="0" fillId="0" borderId="21" xfId="0" applyNumberFormat="1" applyBorder="1" applyAlignment="1" applyProtection="1">
      <alignment horizontal="center"/>
      <protection hidden="1"/>
    </xf>
    <xf numFmtId="176" fontId="0" fillId="0" borderId="22" xfId="0" applyNumberFormat="1" applyBorder="1" applyAlignment="1" applyProtection="1">
      <alignment horizontal="center"/>
      <protection hidden="1"/>
    </xf>
    <xf numFmtId="176" fontId="0" fillId="0" borderId="9" xfId="0" applyNumberFormat="1" applyBorder="1" applyAlignment="1" applyProtection="1">
      <alignment horizontal="center"/>
      <protection locked="0"/>
    </xf>
    <xf numFmtId="167" fontId="3" fillId="0" borderId="39" xfId="0" applyNumberFormat="1" applyFont="1" applyBorder="1" applyAlignment="1" applyProtection="1">
      <alignment horizontal="center"/>
      <protection locked="0"/>
    </xf>
    <xf numFmtId="167" fontId="3" fillId="0" borderId="40" xfId="0" applyNumberFormat="1" applyFont="1" applyBorder="1" applyAlignment="1" applyProtection="1">
      <alignment horizontal="center"/>
      <protection locked="0"/>
    </xf>
    <xf numFmtId="176" fontId="0" fillId="0" borderId="17" xfId="0" applyNumberFormat="1" applyBorder="1" applyAlignment="1" applyProtection="1">
      <alignment horizontal="center"/>
      <protection locked="0"/>
    </xf>
    <xf numFmtId="3" fontId="3" fillId="0" borderId="0" xfId="0" applyNumberFormat="1" applyFont="1" applyProtection="1">
      <protection locked="0"/>
    </xf>
    <xf numFmtId="2" fontId="3" fillId="0" borderId="27" xfId="0" applyNumberFormat="1" applyFont="1" applyBorder="1" applyAlignment="1" applyProtection="1">
      <alignment horizontal="center"/>
      <protection locked="0"/>
    </xf>
    <xf numFmtId="2" fontId="3" fillId="0" borderId="6" xfId="0" applyNumberFormat="1" applyFont="1" applyBorder="1" applyAlignment="1" applyProtection="1">
      <alignment horizontal="center"/>
      <protection locked="0"/>
    </xf>
    <xf numFmtId="2" fontId="3" fillId="0" borderId="7" xfId="0" applyNumberFormat="1" applyFont="1" applyBorder="1" applyAlignment="1" applyProtection="1">
      <alignment horizontal="center"/>
      <protection locked="0"/>
    </xf>
    <xf numFmtId="1" fontId="3" fillId="0" borderId="25" xfId="0" applyNumberFormat="1" applyFont="1" applyBorder="1" applyAlignment="1" applyProtection="1">
      <alignment horizontal="center"/>
      <protection locked="0"/>
    </xf>
    <xf numFmtId="2" fontId="3" fillId="0" borderId="26" xfId="0" applyNumberFormat="1" applyFont="1" applyBorder="1" applyAlignment="1" applyProtection="1">
      <alignment horizontal="center"/>
      <protection locked="0"/>
    </xf>
    <xf numFmtId="2" fontId="3" fillId="0" borderId="12" xfId="0" applyNumberFormat="1" applyFont="1" applyBorder="1" applyAlignment="1" applyProtection="1">
      <alignment horizontal="center"/>
      <protection locked="0"/>
    </xf>
    <xf numFmtId="2" fontId="3" fillId="0" borderId="28" xfId="0" applyNumberFormat="1" applyFont="1" applyBorder="1" applyAlignment="1" applyProtection="1">
      <alignment horizontal="center"/>
      <protection locked="0"/>
    </xf>
    <xf numFmtId="167" fontId="3" fillId="0" borderId="26" xfId="0" applyNumberFormat="1" applyFont="1" applyBorder="1" applyAlignment="1" applyProtection="1">
      <alignment horizontal="center"/>
      <protection locked="0"/>
    </xf>
    <xf numFmtId="167" fontId="3" fillId="0" borderId="12" xfId="0" applyNumberFormat="1" applyFont="1" applyBorder="1" applyAlignment="1" applyProtection="1">
      <alignment horizontal="center"/>
      <protection locked="0"/>
    </xf>
    <xf numFmtId="167" fontId="3" fillId="0" borderId="28" xfId="0" applyNumberFormat="1" applyFont="1" applyBorder="1" applyAlignment="1" applyProtection="1">
      <alignment horizontal="center"/>
      <protection locked="0"/>
    </xf>
    <xf numFmtId="1" fontId="3" fillId="0" borderId="41" xfId="0" applyNumberFormat="1" applyFont="1" applyBorder="1" applyAlignment="1" applyProtection="1">
      <alignment horizontal="center"/>
      <protection locked="0"/>
    </xf>
    <xf numFmtId="1" fontId="3" fillId="0" borderId="13" xfId="0" applyNumberFormat="1" applyFont="1" applyBorder="1" applyAlignment="1" applyProtection="1">
      <alignment horizontal="center"/>
      <protection locked="0"/>
    </xf>
    <xf numFmtId="0" fontId="3" fillId="5" borderId="0" xfId="0" applyFont="1" applyFill="1" applyProtection="1">
      <protection locked="0"/>
    </xf>
    <xf numFmtId="0" fontId="8" fillId="5" borderId="0" xfId="0" applyFont="1" applyFill="1" applyProtection="1">
      <protection locked="0"/>
    </xf>
    <xf numFmtId="165" fontId="3" fillId="0" borderId="49" xfId="0" applyNumberFormat="1" applyFont="1" applyBorder="1" applyProtection="1">
      <protection locked="0"/>
    </xf>
    <xf numFmtId="20" fontId="3" fillId="0" borderId="50" xfId="0" applyNumberFormat="1" applyFont="1" applyBorder="1" applyAlignment="1" applyProtection="1">
      <alignment horizontal="center"/>
      <protection locked="0"/>
    </xf>
    <xf numFmtId="20" fontId="3" fillId="0" borderId="51" xfId="0" applyNumberFormat="1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170" fontId="6" fillId="0" borderId="44" xfId="0" applyNumberFormat="1" applyFont="1" applyBorder="1" applyAlignment="1" applyProtection="1">
      <alignment horizontal="center"/>
      <protection hidden="1"/>
    </xf>
    <xf numFmtId="165" fontId="3" fillId="0" borderId="49" xfId="0" applyNumberFormat="1" applyFont="1" applyBorder="1" applyAlignment="1" applyProtection="1">
      <alignment horizontal="center"/>
      <protection locked="0"/>
    </xf>
    <xf numFmtId="20" fontId="3" fillId="0" borderId="49" xfId="0" applyNumberFormat="1" applyFont="1" applyBorder="1" applyAlignment="1" applyProtection="1">
      <alignment horizontal="center"/>
      <protection locked="0"/>
    </xf>
    <xf numFmtId="175" fontId="3" fillId="0" borderId="0" xfId="0" applyNumberFormat="1" applyFont="1" applyAlignment="1" applyProtection="1">
      <alignment horizontal="center"/>
      <protection hidden="1"/>
    </xf>
    <xf numFmtId="165" fontId="3" fillId="0" borderId="0" xfId="0" applyNumberFormat="1" applyFont="1" applyAlignment="1" applyProtection="1">
      <alignment horizontal="center"/>
      <protection hidden="1"/>
    </xf>
    <xf numFmtId="165" fontId="3" fillId="0" borderId="0" xfId="0" applyNumberFormat="1" applyFont="1" applyAlignment="1" applyProtection="1">
      <alignment horizontal="right"/>
      <protection hidden="1"/>
    </xf>
    <xf numFmtId="3" fontId="3" fillId="0" borderId="0" xfId="0" applyNumberFormat="1" applyFont="1" applyAlignment="1" applyProtection="1">
      <alignment horizontal="center"/>
      <protection locked="0"/>
    </xf>
    <xf numFmtId="167" fontId="3" fillId="0" borderId="13" xfId="0" applyNumberFormat="1" applyFont="1" applyBorder="1" applyAlignment="1" applyProtection="1">
      <alignment horizontal="center"/>
      <protection locked="0"/>
    </xf>
    <xf numFmtId="167" fontId="3" fillId="0" borderId="8" xfId="0" applyNumberFormat="1" applyFont="1" applyBorder="1" applyAlignment="1" applyProtection="1">
      <alignment horizontal="center"/>
      <protection locked="0"/>
    </xf>
    <xf numFmtId="0" fontId="3" fillId="0" borderId="44" xfId="0" applyFont="1" applyBorder="1" applyProtection="1">
      <protection locked="0"/>
    </xf>
    <xf numFmtId="170" fontId="3" fillId="0" borderId="44" xfId="0" applyNumberFormat="1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left"/>
      <protection locked="0"/>
    </xf>
    <xf numFmtId="170" fontId="3" fillId="0" borderId="44" xfId="0" applyNumberFormat="1" applyFont="1" applyBorder="1" applyProtection="1">
      <protection locked="0"/>
    </xf>
    <xf numFmtId="2" fontId="3" fillId="0" borderId="27" xfId="0" applyNumberFormat="1" applyFont="1" applyBorder="1" applyAlignment="1" applyProtection="1">
      <alignment horizontal="left"/>
      <protection locked="0"/>
    </xf>
    <xf numFmtId="2" fontId="0" fillId="0" borderId="6" xfId="0" applyNumberFormat="1" applyBorder="1" applyAlignment="1" applyProtection="1">
      <alignment horizontal="left"/>
      <protection locked="0"/>
    </xf>
    <xf numFmtId="0" fontId="3" fillId="0" borderId="16" xfId="0" applyFont="1" applyBorder="1" applyProtection="1">
      <protection locked="0"/>
    </xf>
    <xf numFmtId="167" fontId="3" fillId="0" borderId="3" xfId="0" applyNumberFormat="1" applyFont="1" applyBorder="1" applyAlignment="1" applyProtection="1">
      <alignment horizontal="center"/>
      <protection locked="0"/>
    </xf>
    <xf numFmtId="167" fontId="3" fillId="0" borderId="4" xfId="0" applyNumberFormat="1" applyFont="1" applyBorder="1" applyAlignment="1" applyProtection="1">
      <alignment horizontal="center"/>
      <protection locked="0"/>
    </xf>
    <xf numFmtId="167" fontId="3" fillId="0" borderId="5" xfId="0" applyNumberFormat="1" applyFont="1" applyBorder="1" applyAlignment="1" applyProtection="1">
      <alignment horizontal="center"/>
      <protection locked="0"/>
    </xf>
    <xf numFmtId="167" fontId="3" fillId="0" borderId="14" xfId="0" applyNumberFormat="1" applyFont="1" applyBorder="1" applyAlignment="1">
      <alignment horizontal="left"/>
    </xf>
    <xf numFmtId="167" fontId="3" fillId="0" borderId="4" xfId="0" applyNumberFormat="1" applyFont="1" applyBorder="1" applyAlignment="1">
      <alignment horizontal="left"/>
    </xf>
    <xf numFmtId="167" fontId="0" fillId="0" borderId="5" xfId="0" applyNumberFormat="1" applyBorder="1" applyAlignment="1">
      <alignment horizontal="left"/>
    </xf>
    <xf numFmtId="2" fontId="3" fillId="0" borderId="6" xfId="0" applyNumberFormat="1" applyFont="1" applyBorder="1" applyAlignment="1" applyProtection="1">
      <alignment horizontal="left"/>
      <protection locked="0"/>
    </xf>
    <xf numFmtId="2" fontId="0" fillId="4" borderId="7" xfId="0" applyNumberFormat="1" applyFill="1" applyBorder="1" applyAlignment="1" applyProtection="1">
      <alignment horizontal="left"/>
      <protection locked="0"/>
    </xf>
    <xf numFmtId="10" fontId="8" fillId="0" borderId="53" xfId="0" applyNumberFormat="1" applyFont="1" applyBorder="1" applyAlignment="1" applyProtection="1">
      <alignment horizontal="right"/>
      <protection hidden="1"/>
    </xf>
    <xf numFmtId="167" fontId="0" fillId="0" borderId="13" xfId="0" applyNumberFormat="1" applyBorder="1" applyAlignment="1" applyProtection="1">
      <alignment horizontal="center"/>
      <protection locked="0"/>
    </xf>
    <xf numFmtId="167" fontId="0" fillId="0" borderId="6" xfId="0" applyNumberFormat="1" applyBorder="1" applyAlignment="1" applyProtection="1">
      <alignment horizontal="center"/>
      <protection locked="0"/>
    </xf>
    <xf numFmtId="167" fontId="0" fillId="0" borderId="12" xfId="0" applyNumberFormat="1" applyBorder="1" applyAlignment="1" applyProtection="1">
      <alignment horizontal="center"/>
      <protection locked="0"/>
    </xf>
    <xf numFmtId="167" fontId="0" fillId="0" borderId="28" xfId="0" applyNumberForma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 wrapText="1"/>
      <protection locked="0"/>
    </xf>
    <xf numFmtId="0" fontId="3" fillId="0" borderId="4" xfId="0" applyFont="1" applyBorder="1" applyProtection="1">
      <protection hidden="1"/>
    </xf>
    <xf numFmtId="1" fontId="0" fillId="0" borderId="56" xfId="0" applyNumberFormat="1" applyBorder="1" applyAlignment="1" applyProtection="1">
      <alignment horizontal="left"/>
      <protection locked="0"/>
    </xf>
    <xf numFmtId="1" fontId="0" fillId="0" borderId="6" xfId="0" applyNumberFormat="1" applyBorder="1" applyAlignment="1" applyProtection="1">
      <alignment horizontal="left"/>
      <protection locked="0"/>
    </xf>
    <xf numFmtId="1" fontId="0" fillId="4" borderId="59" xfId="0" applyNumberFormat="1" applyFill="1" applyBorder="1" applyAlignment="1" applyProtection="1">
      <alignment horizontal="left"/>
      <protection locked="0"/>
    </xf>
    <xf numFmtId="2" fontId="0" fillId="4" borderId="11" xfId="0" applyNumberFormat="1" applyFill="1" applyBorder="1" applyAlignment="1" applyProtection="1">
      <alignment horizontal="left"/>
      <protection locked="0"/>
    </xf>
    <xf numFmtId="172" fontId="3" fillId="0" borderId="0" xfId="0" applyNumberFormat="1" applyFont="1"/>
    <xf numFmtId="0" fontId="8" fillId="0" borderId="14" xfId="0" applyFont="1" applyBorder="1" applyAlignment="1">
      <alignment horizontal="center"/>
    </xf>
    <xf numFmtId="177" fontId="0" fillId="0" borderId="5" xfId="0" applyNumberFormat="1" applyBorder="1" applyAlignment="1">
      <alignment horizontal="left"/>
    </xf>
    <xf numFmtId="177" fontId="0" fillId="0" borderId="33" xfId="0" applyNumberFormat="1" applyBorder="1" applyAlignment="1">
      <alignment horizontal="left"/>
    </xf>
    <xf numFmtId="167" fontId="8" fillId="0" borderId="18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vertical="center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49" fontId="3" fillId="3" borderId="9" xfId="0" applyNumberFormat="1" applyFont="1" applyFill="1" applyBorder="1" applyAlignment="1" applyProtection="1">
      <alignment horizontal="center"/>
      <protection hidden="1"/>
    </xf>
    <xf numFmtId="3" fontId="3" fillId="3" borderId="17" xfId="0" applyNumberFormat="1" applyFont="1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9" fontId="0" fillId="3" borderId="9" xfId="0" applyNumberFormat="1" applyFill="1" applyBorder="1" applyAlignment="1" applyProtection="1">
      <alignment horizontal="center"/>
      <protection hidden="1"/>
    </xf>
    <xf numFmtId="2" fontId="8" fillId="0" borderId="17" xfId="0" applyNumberFormat="1" applyFont="1" applyBorder="1" applyAlignment="1" applyProtection="1">
      <alignment horizontal="center"/>
      <protection hidden="1"/>
    </xf>
    <xf numFmtId="2" fontId="11" fillId="0" borderId="10" xfId="0" applyNumberFormat="1" applyFont="1" applyBorder="1" applyAlignment="1" applyProtection="1">
      <alignment horizontal="center"/>
      <protection hidden="1"/>
    </xf>
    <xf numFmtId="2" fontId="12" fillId="0" borderId="10" xfId="0" applyNumberFormat="1" applyFont="1" applyBorder="1" applyAlignment="1" applyProtection="1">
      <alignment horizontal="center"/>
      <protection hidden="1"/>
    </xf>
    <xf numFmtId="2" fontId="8" fillId="0" borderId="10" xfId="0" applyNumberFormat="1" applyFont="1" applyBorder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 vertical="center" wrapText="1"/>
      <protection locked="0"/>
    </xf>
    <xf numFmtId="2" fontId="0" fillId="0" borderId="61" xfId="0" applyNumberFormat="1" applyBorder="1" applyAlignment="1" applyProtection="1">
      <alignment horizontal="center"/>
      <protection locked="0"/>
    </xf>
    <xf numFmtId="2" fontId="0" fillId="0" borderId="24" xfId="0" applyNumberFormat="1" applyBorder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left"/>
      <protection hidden="1"/>
    </xf>
    <xf numFmtId="167" fontId="8" fillId="0" borderId="0" xfId="0" applyNumberFormat="1" applyFont="1" applyAlignment="1" applyProtection="1">
      <alignment horizontal="center"/>
      <protection locked="0"/>
    </xf>
    <xf numFmtId="0" fontId="8" fillId="0" borderId="60" xfId="0" applyFont="1" applyBorder="1" applyAlignment="1" applyProtection="1">
      <alignment horizontal="center" vertical="center" wrapText="1"/>
      <protection locked="0"/>
    </xf>
    <xf numFmtId="167" fontId="0" fillId="0" borderId="60" xfId="0" applyNumberFormat="1" applyBorder="1" applyAlignment="1" applyProtection="1">
      <alignment horizontal="center"/>
      <protection locked="0"/>
    </xf>
    <xf numFmtId="2" fontId="8" fillId="0" borderId="16" xfId="0" applyNumberFormat="1" applyFont="1" applyBorder="1" applyAlignment="1" applyProtection="1">
      <alignment horizontal="center" vertical="center"/>
      <protection locked="0"/>
    </xf>
    <xf numFmtId="2" fontId="8" fillId="0" borderId="19" xfId="0" applyNumberFormat="1" applyFont="1" applyBorder="1" applyAlignment="1" applyProtection="1">
      <alignment horizontal="center"/>
      <protection locked="0"/>
    </xf>
    <xf numFmtId="2" fontId="8" fillId="0" borderId="62" xfId="0" applyNumberFormat="1" applyFont="1" applyBorder="1" applyAlignment="1" applyProtection="1">
      <alignment horizontal="center"/>
      <protection locked="0"/>
    </xf>
    <xf numFmtId="2" fontId="8" fillId="0" borderId="63" xfId="0" applyNumberFormat="1" applyFont="1" applyBorder="1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" fontId="0" fillId="0" borderId="64" xfId="0" applyNumberFormat="1" applyBorder="1" applyProtection="1">
      <protection locked="0"/>
    </xf>
    <xf numFmtId="167" fontId="0" fillId="0" borderId="41" xfId="0" applyNumberFormat="1" applyBorder="1" applyAlignment="1" applyProtection="1">
      <alignment horizontal="center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0" fontId="3" fillId="3" borderId="10" xfId="0" applyFont="1" applyFill="1" applyBorder="1" applyAlignment="1" applyProtection="1">
      <alignment horizontal="center"/>
      <protection locked="0"/>
    </xf>
    <xf numFmtId="167" fontId="0" fillId="0" borderId="53" xfId="0" applyNumberFormat="1" applyBorder="1" applyAlignment="1" applyProtection="1">
      <alignment horizontal="left"/>
      <protection hidden="1"/>
    </xf>
    <xf numFmtId="0" fontId="0" fillId="3" borderId="0" xfId="0" applyFill="1"/>
    <xf numFmtId="3" fontId="3" fillId="0" borderId="0" xfId="0" quotePrefix="1" applyNumberFormat="1" applyFont="1" applyProtection="1">
      <protection locked="0"/>
    </xf>
    <xf numFmtId="0" fontId="8" fillId="0" borderId="18" xfId="0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/>
      <protection locked="0"/>
    </xf>
    <xf numFmtId="1" fontId="3" fillId="3" borderId="37" xfId="0" applyNumberFormat="1" applyFont="1" applyFill="1" applyBorder="1" applyAlignment="1" applyProtection="1">
      <alignment horizontal="center"/>
      <protection locked="0"/>
    </xf>
    <xf numFmtId="1" fontId="3" fillId="3" borderId="38" xfId="0" applyNumberFormat="1" applyFont="1" applyFill="1" applyBorder="1" applyAlignment="1" applyProtection="1">
      <alignment horizontal="center"/>
      <protection locked="0"/>
    </xf>
    <xf numFmtId="9" fontId="3" fillId="0" borderId="45" xfId="0" applyNumberFormat="1" applyFont="1" applyBorder="1" applyAlignment="1" applyProtection="1">
      <alignment horizontal="center"/>
      <protection hidden="1"/>
    </xf>
    <xf numFmtId="20" fontId="3" fillId="0" borderId="45" xfId="0" applyNumberFormat="1" applyFont="1" applyBorder="1" applyAlignment="1" applyProtection="1">
      <alignment horizontal="center"/>
      <protection locked="0"/>
    </xf>
    <xf numFmtId="176" fontId="3" fillId="0" borderId="41" xfId="0" applyNumberFormat="1" applyFont="1" applyBorder="1" applyAlignment="1" applyProtection="1">
      <alignment horizontal="center" wrapText="1"/>
      <protection locked="0"/>
    </xf>
    <xf numFmtId="176" fontId="3" fillId="0" borderId="13" xfId="0" applyNumberFormat="1" applyFont="1" applyBorder="1" applyAlignment="1" applyProtection="1">
      <alignment horizontal="center" wrapText="1"/>
      <protection locked="0"/>
    </xf>
    <xf numFmtId="20" fontId="3" fillId="0" borderId="46" xfId="0" applyNumberFormat="1" applyFont="1" applyBorder="1" applyAlignment="1" applyProtection="1">
      <alignment horizontal="center"/>
      <protection locked="0"/>
    </xf>
    <xf numFmtId="20" fontId="3" fillId="0" borderId="47" xfId="0" applyNumberFormat="1" applyFont="1" applyBorder="1" applyAlignment="1" applyProtection="1">
      <alignment horizontal="center"/>
      <protection locked="0"/>
    </xf>
    <xf numFmtId="20" fontId="3" fillId="0" borderId="48" xfId="0" applyNumberFormat="1" applyFont="1" applyBorder="1" applyAlignment="1" applyProtection="1">
      <alignment horizontal="center"/>
      <protection locked="0"/>
    </xf>
    <xf numFmtId="20" fontId="4" fillId="0" borderId="42" xfId="0" applyNumberFormat="1" applyFont="1" applyBorder="1" applyAlignment="1" applyProtection="1">
      <alignment horizontal="left" vertical="top" wrapText="1"/>
      <protection locked="0"/>
    </xf>
    <xf numFmtId="20" fontId="4" fillId="0" borderId="43" xfId="0" applyNumberFormat="1" applyFont="1" applyBorder="1" applyAlignment="1" applyProtection="1">
      <alignment horizontal="left" vertical="top" wrapText="1"/>
      <protection locked="0"/>
    </xf>
    <xf numFmtId="20" fontId="4" fillId="0" borderId="35" xfId="0" applyNumberFormat="1" applyFont="1" applyBorder="1" applyAlignment="1" applyProtection="1">
      <alignment horizontal="left" vertical="top" wrapText="1"/>
      <protection locked="0"/>
    </xf>
    <xf numFmtId="20" fontId="4" fillId="0" borderId="1" xfId="0" applyNumberFormat="1" applyFont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5" borderId="52" xfId="0" applyFont="1" applyFill="1" applyBorder="1" applyAlignment="1" applyProtection="1">
      <alignment horizontal="left" vertical="top" wrapText="1"/>
      <protection locked="0"/>
    </xf>
    <xf numFmtId="0" fontId="9" fillId="5" borderId="0" xfId="0" applyFont="1" applyFill="1" applyAlignment="1" applyProtection="1">
      <alignment horizontal="left" vertical="top" wrapText="1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170" fontId="9" fillId="5" borderId="52" xfId="0" applyNumberFormat="1" applyFont="1" applyFill="1" applyBorder="1" applyAlignment="1" applyProtection="1">
      <alignment horizontal="left" vertical="top" wrapText="1"/>
      <protection locked="0"/>
    </xf>
    <xf numFmtId="170" fontId="9" fillId="5" borderId="0" xfId="0" applyNumberFormat="1" applyFont="1" applyFill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right"/>
      <protection locked="0"/>
    </xf>
    <xf numFmtId="0" fontId="8" fillId="0" borderId="29" xfId="0" applyFont="1" applyBorder="1" applyAlignment="1" applyProtection="1">
      <alignment horizontal="right"/>
      <protection locked="0"/>
    </xf>
    <xf numFmtId="0" fontId="8" fillId="0" borderId="31" xfId="0" applyFont="1" applyBorder="1" applyAlignment="1" applyProtection="1">
      <alignment horizontal="right"/>
      <protection locked="0"/>
    </xf>
    <xf numFmtId="0" fontId="8" fillId="0" borderId="32" xfId="0" applyFont="1" applyBorder="1" applyAlignment="1" applyProtection="1">
      <alignment horizontal="right"/>
      <protection locked="0"/>
    </xf>
    <xf numFmtId="0" fontId="8" fillId="0" borderId="18" xfId="0" applyFont="1" applyBorder="1" applyAlignment="1" applyProtection="1">
      <alignment horizontal="right"/>
      <protection locked="0"/>
    </xf>
    <xf numFmtId="0" fontId="8" fillId="0" borderId="33" xfId="0" applyFont="1" applyBorder="1" applyAlignment="1" applyProtection="1">
      <alignment horizontal="right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29" xfId="0" applyFont="1" applyBorder="1" applyAlignment="1" applyProtection="1">
      <alignment horizontal="center"/>
      <protection locked="0"/>
    </xf>
    <xf numFmtId="167" fontId="8" fillId="0" borderId="24" xfId="0" applyNumberFormat="1" applyFont="1" applyBorder="1" applyAlignment="1" applyProtection="1">
      <alignment horizontal="center"/>
      <protection locked="0"/>
    </xf>
    <xf numFmtId="167" fontId="8" fillId="0" borderId="30" xfId="0" applyNumberFormat="1" applyFont="1" applyBorder="1" applyAlignment="1" applyProtection="1">
      <alignment horizontal="center"/>
      <protection locked="0"/>
    </xf>
    <xf numFmtId="167" fontId="8" fillId="0" borderId="31" xfId="0" applyNumberFormat="1" applyFont="1" applyBorder="1" applyAlignment="1" applyProtection="1">
      <alignment horizontal="center"/>
      <protection locked="0"/>
    </xf>
    <xf numFmtId="167" fontId="8" fillId="0" borderId="32" xfId="0" applyNumberFormat="1" applyFont="1" applyBorder="1" applyAlignment="1" applyProtection="1">
      <alignment horizontal="center"/>
      <protection locked="0"/>
    </xf>
    <xf numFmtId="20" fontId="8" fillId="0" borderId="9" xfId="0" applyNumberFormat="1" applyFont="1" applyBorder="1" applyAlignment="1" applyProtection="1">
      <alignment horizontal="center"/>
      <protection locked="0"/>
    </xf>
    <xf numFmtId="20" fontId="8" fillId="0" borderId="10" xfId="0" applyNumberFormat="1" applyFont="1" applyBorder="1" applyAlignment="1" applyProtection="1">
      <alignment horizontal="center"/>
      <protection locked="0"/>
    </xf>
    <xf numFmtId="20" fontId="8" fillId="0" borderId="54" xfId="0" applyNumberFormat="1" applyFont="1" applyBorder="1" applyAlignment="1" applyProtection="1">
      <alignment horizontal="center"/>
      <protection locked="0"/>
    </xf>
    <xf numFmtId="20" fontId="8" fillId="0" borderId="55" xfId="0" applyNumberFormat="1" applyFont="1" applyBorder="1" applyAlignment="1" applyProtection="1">
      <alignment horizontal="center"/>
      <protection locked="0"/>
    </xf>
    <xf numFmtId="20" fontId="8" fillId="0" borderId="21" xfId="0" applyNumberFormat="1" applyFont="1" applyBorder="1" applyAlignment="1" applyProtection="1">
      <alignment horizontal="center"/>
      <protection locked="0"/>
    </xf>
    <xf numFmtId="20" fontId="8" fillId="0" borderId="12" xfId="0" applyNumberFormat="1" applyFont="1" applyBorder="1" applyAlignment="1" applyProtection="1">
      <alignment horizontal="center"/>
      <protection locked="0"/>
    </xf>
    <xf numFmtId="20" fontId="8" fillId="0" borderId="57" xfId="0" applyNumberFormat="1" applyFont="1" applyBorder="1" applyAlignment="1" applyProtection="1">
      <alignment horizontal="center"/>
      <protection locked="0"/>
    </xf>
    <xf numFmtId="20" fontId="8" fillId="0" borderId="58" xfId="0" applyNumberFormat="1" applyFont="1" applyBorder="1" applyAlignment="1" applyProtection="1">
      <alignment horizontal="center"/>
      <protection locked="0"/>
    </xf>
  </cellXfs>
  <cellStyles count="2">
    <cellStyle name="Standaard" xfId="0" builtinId="0"/>
    <cellStyle name="Standaard 2" xfId="1" xr:uid="{00000000-0005-0000-0000-000001000000}"/>
  </cellStyles>
  <dxfs count="30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  <dxf>
      <font>
        <color rgb="FFFF0000"/>
      </font>
      <fill>
        <patternFill>
          <bgColor rgb="FFCCCCFF"/>
        </patternFill>
      </fill>
    </dxf>
    <dxf>
      <font>
        <color rgb="FF0000FF"/>
      </font>
    </dxf>
  </dxfs>
  <tableStyles count="0" defaultTableStyle="TableStyleMedium9" defaultPivotStyle="PivotStyleLight16"/>
  <colors>
    <mruColors>
      <color rgb="FFCCFFCC"/>
      <color rgb="FFCCCCFF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0971453820218"/>
          <c:y val="2.3786142935079101E-2"/>
          <c:w val="0.87948717053383851"/>
          <c:h val="0.804406355915821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Jaaroverzicht!$B$3</c:f>
              <c:strCache>
                <c:ptCount val="1"/>
                <c:pt idx="0">
                  <c:v>100%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Jaaroverzicht!$A$4:$A$15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Jaaroverzicht!$B$4:$B$15</c:f>
              <c:numCache>
                <c:formatCode>[h]:mm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8-4047-B884-101E9DF01BD6}"/>
            </c:ext>
          </c:extLst>
        </c:ser>
        <c:ser>
          <c:idx val="1"/>
          <c:order val="1"/>
          <c:tx>
            <c:strRef>
              <c:f>Jaaroverzicht!$C$3</c:f>
              <c:strCache>
                <c:ptCount val="1"/>
                <c:pt idx="0">
                  <c:v>Overuren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Jaaroverzicht!$A$4:$A$15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Jaaroverzicht!$C$4:$C$15</c:f>
              <c:numCache>
                <c:formatCode>[h]:mm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8-4047-B884-101E9DF01BD6}"/>
            </c:ext>
          </c:extLst>
        </c:ser>
        <c:ser>
          <c:idx val="2"/>
          <c:order val="2"/>
          <c:tx>
            <c:strRef>
              <c:f>Jaaroverzicht!$D$3</c:f>
              <c:strCache>
                <c:ptCount val="1"/>
                <c:pt idx="0">
                  <c:v>Zon-en Feestdagen</c:v>
                </c:pt>
              </c:strCache>
            </c:strRef>
          </c:tx>
          <c:invertIfNegative val="0"/>
          <c:cat>
            <c:strRef>
              <c:f>Jaaroverzicht!$A$4:$A$15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Jaaroverzicht!$D$4:$D$15</c:f>
              <c:numCache>
                <c:formatCode>[h]:mm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A-4E60-9C22-6105F56C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308600"/>
        <c:axId val="1"/>
      </c:barChart>
      <c:catAx>
        <c:axId val="541308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BE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[h]: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nl-BE"/>
          </a:p>
        </c:txPr>
        <c:crossAx val="541308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0" i="0" u="none" strike="noStrike" baseline="0">
                <a:solidFill>
                  <a:schemeClr val="tx1"/>
                </a:solidFill>
                <a:latin typeface="Times New Roman"/>
                <a:ea typeface="Times New Roman"/>
                <a:cs typeface="Times New Roman"/>
              </a:defRPr>
            </a:pPr>
            <a:endParaRPr lang="nl-BE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nl-B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fiek13"/>
  <sheetViews>
    <sheetView zoomScale="120" workbookViewId="0"/>
  </sheetViews>
  <pageMargins left="0.74803149606299213" right="0.74803149606299213" top="0.98425196850393704" bottom="0.98425196850393704" header="0.51181102362204722" footer="0.51181102362204722"/>
  <pageSetup orientation="landscape" horizontalDpi="300" verticalDpi="300" r:id="rId1"/>
  <headerFooter alignWithMargins="0">
    <oddHeader>&amp;C&amp;F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8375" cy="5857875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62F2C7E-739D-4101-80A2-668343659F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Galerie">
  <a:themeElements>
    <a:clrScheme name="Aangepast 4">
      <a:dk1>
        <a:sysClr val="windowText" lastClr="000000"/>
      </a:dk1>
      <a:lt1>
        <a:sysClr val="window" lastClr="FFFFFF"/>
      </a:lt1>
      <a:dk2>
        <a:srgbClr val="AFA597"/>
      </a:dk2>
      <a:lt2>
        <a:srgbClr val="DFDBD5"/>
      </a:lt2>
      <a:accent1>
        <a:srgbClr val="000000"/>
      </a:accent1>
      <a:accent2>
        <a:srgbClr val="0000FF"/>
      </a:accent2>
      <a:accent3>
        <a:srgbClr val="FF000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e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e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2">
    <pageSetUpPr fitToPage="1"/>
  </sheetPr>
  <dimension ref="A1:AE84"/>
  <sheetViews>
    <sheetView zoomScaleNormal="100" workbookViewId="0">
      <pane ySplit="2" topLeftCell="A3" activePane="bottomLeft" state="frozen"/>
      <selection activeCell="F48" sqref="F48"/>
      <selection pane="bottomLeft" activeCell="H8" sqref="H8"/>
    </sheetView>
  </sheetViews>
  <sheetFormatPr defaultColWidth="9" defaultRowHeight="15.75" x14ac:dyDescent="0.25"/>
  <cols>
    <col min="1" max="1" width="9.625" style="4" customWidth="1"/>
    <col min="2" max="2" width="8.875" style="1" customWidth="1"/>
    <col min="3" max="3" width="6.75" style="1" customWidth="1"/>
    <col min="4" max="5" width="6.75" style="5" customWidth="1"/>
    <col min="6" max="6" width="8.875" style="5" customWidth="1"/>
    <col min="7" max="7" width="6.75" style="5" customWidth="1"/>
    <col min="8" max="8" width="6.625" style="1" customWidth="1"/>
    <col min="9" max="9" width="6.625" style="5" customWidth="1"/>
    <col min="10" max="10" width="6.625" style="189" hidden="1" customWidth="1"/>
    <col min="11" max="11" width="6.625" style="5" customWidth="1"/>
    <col min="12" max="12" width="6.625" style="4" customWidth="1"/>
    <col min="13" max="13" width="6.625" style="5" customWidth="1"/>
    <col min="14" max="14" width="6.625" style="4" customWidth="1"/>
    <col min="15" max="15" width="6.625" style="5" hidden="1" customWidth="1"/>
    <col min="16" max="16" width="8" style="9" hidden="1" customWidth="1"/>
    <col min="17" max="17" width="14.375" style="5" hidden="1" customWidth="1"/>
    <col min="18" max="19" width="6.25" style="153" customWidth="1"/>
    <col min="20" max="20" width="17.375" style="4" customWidth="1"/>
    <col min="21" max="21" width="22.625" style="4" customWidth="1"/>
    <col min="22" max="22" width="3.75" style="4" customWidth="1"/>
    <col min="23" max="23" width="5.5" style="18" bestFit="1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9" style="4" hidden="1" customWidth="1"/>
    <col min="31" max="31" width="14.75" style="4" hidden="1" customWidth="1"/>
    <col min="32" max="36" width="9" style="4" customWidth="1"/>
    <col min="37" max="37" width="7.875" style="4" customWidth="1"/>
    <col min="38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6"/>
      <c r="AA1" s="216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46" t="str">
        <f>IF(WEEKDAY(B3)=1,"Zondag",IF(WEEKDAY(B3)=2,"Maandag",IF(WEEKDAY(B3)=3,"Dinsdag",IF(WEEKDAY(B3)=4,"Woensdag",IF(WEEKDAY(B3)=5,"Donderdag",IF(WEEKDAY(B3)=6,"Vrijdag","Zaterdag"))))))</f>
        <v>Donderdag</v>
      </c>
      <c r="B3" s="226">
        <f>Basisgegevens!B1</f>
        <v>46023</v>
      </c>
      <c r="C3" s="224"/>
      <c r="D3" s="149"/>
      <c r="E3" s="149"/>
      <c r="F3" s="156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:L33" si="0">IF(D3="","",ROUNDDOWN((HOUR(K3))+MINUTE(K3)/60,2))</f>
        <v/>
      </c>
      <c r="M3" s="150">
        <f>IF(C3="",0,(D3-C3)+(F3-E3))</f>
        <v>0</v>
      </c>
      <c r="N3" s="44" t="str">
        <f t="shared" ref="N3" si="1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>FD</v>
      </c>
      <c r="W3" s="220">
        <f t="shared" ref="W3:W33" si="2">IF(WEEKDAY(B3)=1,(WEEKNUM(DATE(YEAR(B3),MONTH(B3),DAY(B3)),)-1),WEEKNUM(DATE(YEAR(B3),MONTH(B3),DAY(B3)),))</f>
        <v>1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46" t="str">
        <f>IF(WEEKDAY(B4)=1,"Zondag",IF(WEEKDAY(B4)=2,"Maandag",IF(WEEKDAY(B4)=3,"Dinsdag",IF(WEEKDAY(B4)=4,"Woensdag",IF(WEEKDAY(B4)=5,"Donderdag",IF(WEEKDAY(B4)=6,"Vrijdag","Zaterdag"))))))</f>
        <v>Vrijdag</v>
      </c>
      <c r="B4" s="226">
        <f t="shared" ref="B4:B30" si="3">B3+1</f>
        <v>46024</v>
      </c>
      <c r="C4" s="224"/>
      <c r="D4" s="149"/>
      <c r="E4" s="149"/>
      <c r="F4" s="156"/>
      <c r="G4" s="149"/>
      <c r="H4" s="79"/>
      <c r="I4" s="149"/>
      <c r="J4" s="188" t="str">
        <f t="shared" ref="J4:J33" si="4">IF(I4="","",IF(HOUR(I4)&lt;5,0.5,1))</f>
        <v/>
      </c>
      <c r="K4" s="150">
        <f>IF(Basisgegevens!$F$1="JA",IF(D4="",0,(1-D4)+(E4)-G4),(E4-D4)-G4)</f>
        <v>0</v>
      </c>
      <c r="L4" s="44" t="str">
        <f t="shared" si="0"/>
        <v/>
      </c>
      <c r="M4" s="150">
        <f t="shared" ref="M4:M33" si="5">IF(C4="",0,(D4-C4)+(F4-E4))</f>
        <v>0</v>
      </c>
      <c r="N4" s="44" t="str">
        <f t="shared" ref="N4" si="6">IF(C4="","",ROUNDDOWN((HOUR(M4))+MINUTE(M4)/60,2))</f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T4" s="100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si="2"/>
        <v>1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206">
        <f>LOOKUP(SMALL(W3:W33,1),W3:W33,W3:W33)</f>
        <v>1</v>
      </c>
      <c r="AA4" s="210">
        <f>IF($Z4="","",SUMIFS($K$3:$K$33,$W$3:$W$33,$Z4,$A$3:$A$33,"&lt;&gt;Zaterdag",$A$3:$A$33,"&lt;&gt;Zondag"))</f>
        <v>0</v>
      </c>
      <c r="AB4" s="210">
        <f>IF($Z4="","",SUMIFS($K$3:$K$33,$W$3:$W$33,$Z4,$A$3:$A$33,"&lt;&gt;Zaterdag",$A$3:$A$33,"&lt;&gt;Zondag")+SUMIFS($I$3:$I$33,$W$3:$W$33,$Z4,$A$3:$A$33,"&lt;&gt;Zaterdag",$A$3:$A$33,"&lt;&gt;Zondag"))</f>
        <v>0</v>
      </c>
      <c r="AC4" s="167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7">IF(L4="",0,IF(L4&gt;=5,1,0))</f>
        <v>0</v>
      </c>
    </row>
    <row r="5" spans="1:31" x14ac:dyDescent="0.25">
      <c r="A5" s="146" t="str">
        <f t="shared" ref="A5:A33" si="8">IF(WEEKDAY(B5)=1,"Zondag",IF(WEEKDAY(B5)=2,"Maandag",IF(WEEKDAY(B5)=3,"Dinsdag",IF(WEEKDAY(B5)=4,"Woensdag",IF(WEEKDAY(B5)=5,"Donderdag",IF(WEEKDAY(B5)=6,"Vrijdag","Zaterdag"))))))</f>
        <v>Zaterdag</v>
      </c>
      <c r="B5" s="226">
        <f t="shared" si="3"/>
        <v>46025</v>
      </c>
      <c r="C5" s="224"/>
      <c r="D5" s="149"/>
      <c r="E5" s="149"/>
      <c r="F5" s="156"/>
      <c r="G5" s="149"/>
      <c r="H5" s="79"/>
      <c r="I5" s="149"/>
      <c r="J5" s="188" t="str">
        <f t="shared" si="4"/>
        <v/>
      </c>
      <c r="K5" s="150">
        <f>IF(Basisgegevens!$F$1="JA",IF(D5="",0,(1-D5)+(E5)-G5),(E5-D5)-G5)</f>
        <v>0</v>
      </c>
      <c r="L5" s="44" t="str">
        <f t="shared" si="0"/>
        <v/>
      </c>
      <c r="M5" s="150">
        <f t="shared" si="5"/>
        <v>0</v>
      </c>
      <c r="N5" s="44" t="str">
        <f t="shared" ref="N5:N33" si="9">IF(C5="","",ROUNDDOWN((HOUR(M5))+MINUTE(M5)/60,2))</f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T5" s="100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2"/>
        <v>1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2</v>
      </c>
      <c r="AA5" s="211">
        <f t="shared" ref="AA5:AA9" si="10">IF($Z5="","",SUMIFS($K$3:$K$33,$W$3:$W$33,$Z5,$A$3:$A$33,"&lt;&gt;Zaterdag",$A$3:$A$33,"&lt;&gt;Zondag"))</f>
        <v>0</v>
      </c>
      <c r="AB5" s="211">
        <f t="shared" ref="AB5:AB6" si="11">IF($Z5="","",SUMIFS($K$3:$K$33,$W$3:$W$33,$Z5,$A$3:$A$33,"&lt;&gt;Zaterdag",$A$3:$A$33,"&lt;&gt;Zondag")+SUMIFS($I$3:$I$33,$W$3:$W$33,$Z5,$A$3:$A$33,"&lt;&gt;Zaterdag",$A$3:$A$33,"&lt;&gt;Zondag"))</f>
        <v>0</v>
      </c>
      <c r="AC5" s="168">
        <f t="shared" ref="AC5:AC9" si="12">IF($Z5="","",SUMIFS($M$3:$M$33,$W$3:$W$33,$Z5,$A$3:$A$33,"&lt;&gt;Zaterdag",$A$3:$A$33,"&lt;&gt;Zondag"))</f>
        <v>0</v>
      </c>
      <c r="AD5" s="238">
        <f t="shared" ref="AD5:AD9" si="13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7"/>
        <v>0</v>
      </c>
    </row>
    <row r="6" spans="1:31" x14ac:dyDescent="0.25">
      <c r="A6" s="146" t="str">
        <f t="shared" si="8"/>
        <v>Zondag</v>
      </c>
      <c r="B6" s="226">
        <f t="shared" si="3"/>
        <v>46026</v>
      </c>
      <c r="C6" s="149"/>
      <c r="D6" s="149"/>
      <c r="E6" s="149"/>
      <c r="F6" s="156"/>
      <c r="G6" s="149"/>
      <c r="H6" s="79"/>
      <c r="I6" s="149"/>
      <c r="J6" s="188" t="str">
        <f t="shared" si="4"/>
        <v/>
      </c>
      <c r="K6" s="150">
        <f>IF(Basisgegevens!$F$1="JA",IF(D6="",0,(1-D6)+(E6)-G6),(E6-D6)-G6)</f>
        <v>0</v>
      </c>
      <c r="L6" s="44" t="str">
        <f t="shared" si="0"/>
        <v/>
      </c>
      <c r="M6" s="150">
        <f t="shared" si="5"/>
        <v>0</v>
      </c>
      <c r="N6" s="44" t="str">
        <f t="shared" si="9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T6" s="100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2"/>
        <v>1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>IF(W$33=Z5,"",Z5+1)</f>
        <v>3</v>
      </c>
      <c r="AA6" s="211">
        <f t="shared" si="10"/>
        <v>0</v>
      </c>
      <c r="AB6" s="211">
        <f t="shared" si="11"/>
        <v>0</v>
      </c>
      <c r="AC6" s="168">
        <f t="shared" si="12"/>
        <v>0</v>
      </c>
      <c r="AD6" s="238">
        <f t="shared" si="13"/>
        <v>0</v>
      </c>
      <c r="AE6" s="4">
        <f t="shared" si="7"/>
        <v>0</v>
      </c>
    </row>
    <row r="7" spans="1:31" x14ac:dyDescent="0.25">
      <c r="A7" s="146" t="str">
        <f t="shared" si="8"/>
        <v>Maandag</v>
      </c>
      <c r="B7" s="226">
        <f t="shared" si="3"/>
        <v>46027</v>
      </c>
      <c r="C7" s="224"/>
      <c r="D7" s="149"/>
      <c r="E7" s="149"/>
      <c r="F7" s="156"/>
      <c r="G7" s="149"/>
      <c r="H7" s="79"/>
      <c r="I7" s="149"/>
      <c r="J7" s="188" t="str">
        <f t="shared" si="4"/>
        <v/>
      </c>
      <c r="K7" s="150">
        <f>IF(Basisgegevens!$F$1="JA",IF(D7="",0,(1-D7)+(E7)-G7),(E7-D7)-G7)</f>
        <v>0</v>
      </c>
      <c r="L7" s="44" t="str">
        <f t="shared" si="0"/>
        <v/>
      </c>
      <c r="M7" s="150">
        <f t="shared" si="5"/>
        <v>0</v>
      </c>
      <c r="N7" s="44" t="str">
        <f t="shared" si="9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T7" s="100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2"/>
        <v>2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>IF(W$33=Z6,"",Z6+1)</f>
        <v>4</v>
      </c>
      <c r="AA7" s="211">
        <f t="shared" si="10"/>
        <v>0</v>
      </c>
      <c r="AB7" s="211">
        <f>IF($Z7="","",SUMIFS($K$3:$K$33,$W$3:$W$33,$Z7,$A$3:$A$33,"&lt;&gt;Zaterdag",$A$3:$A$33,"&lt;&gt;Zondag")+SUMIFS($I$3:$I$33,$W$3:$W$33,$Z7,$A$3:$A$33,"&lt;&gt;Zaterdag",$A$3:$A$33,"&lt;&gt;Zondag"))</f>
        <v>0</v>
      </c>
      <c r="AC7" s="168">
        <f t="shared" si="12"/>
        <v>0</v>
      </c>
      <c r="AD7" s="238">
        <f t="shared" si="13"/>
        <v>0</v>
      </c>
      <c r="AE7" s="4">
        <f t="shared" si="7"/>
        <v>0</v>
      </c>
    </row>
    <row r="8" spans="1:31" x14ac:dyDescent="0.25">
      <c r="A8" s="146" t="str">
        <f t="shared" si="8"/>
        <v>Dinsdag</v>
      </c>
      <c r="B8" s="226">
        <f t="shared" si="3"/>
        <v>46028</v>
      </c>
      <c r="C8" s="224"/>
      <c r="D8" s="149"/>
      <c r="E8" s="149"/>
      <c r="F8" s="156"/>
      <c r="G8" s="149"/>
      <c r="H8" s="79"/>
      <c r="I8" s="149"/>
      <c r="J8" s="188" t="str">
        <f t="shared" si="4"/>
        <v/>
      </c>
      <c r="K8" s="150">
        <f>IF(Basisgegevens!$F$1="JA",IF(D8="",0,(1-D8)+(E8)-G8),(E8-D8)-G8)</f>
        <v>0</v>
      </c>
      <c r="L8" s="44" t="str">
        <f t="shared" si="0"/>
        <v/>
      </c>
      <c r="M8" s="150">
        <f t="shared" si="5"/>
        <v>0</v>
      </c>
      <c r="N8" s="44" t="str">
        <f t="shared" si="9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T8" s="100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2"/>
        <v>2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>IF(W$33=Z7,"",Z7+1)</f>
        <v>5</v>
      </c>
      <c r="AA8" s="211">
        <f t="shared" si="10"/>
        <v>0</v>
      </c>
      <c r="AB8" s="211">
        <f t="shared" ref="AB8:AB9" si="14">IF($Z8="","",SUMIFS($K$3:$K$33,$W$3:$W$33,$Z8,$A$3:$A$33,"&lt;&gt;Zaterdag",$A$3:$A$33,"&lt;&gt;Zondag")+SUMIFS($I$3:$I$33,$W$3:$W$33,$Z8,$A$3:$A$33,"&lt;&gt;Zaterdag",$A$3:$A$33,"&lt;&gt;Zondag"))</f>
        <v>0</v>
      </c>
      <c r="AC8" s="168">
        <f t="shared" si="12"/>
        <v>0</v>
      </c>
      <c r="AD8" s="238">
        <f t="shared" si="13"/>
        <v>0</v>
      </c>
      <c r="AE8" s="4">
        <f t="shared" si="7"/>
        <v>0</v>
      </c>
    </row>
    <row r="9" spans="1:31" ht="16.5" customHeight="1" thickBot="1" x14ac:dyDescent="0.3">
      <c r="A9" s="146" t="str">
        <f t="shared" si="8"/>
        <v>Woensdag</v>
      </c>
      <c r="B9" s="226">
        <f t="shared" si="3"/>
        <v>46029</v>
      </c>
      <c r="C9" s="224"/>
      <c r="D9" s="149"/>
      <c r="E9" s="149"/>
      <c r="F9" s="156"/>
      <c r="G9" s="149"/>
      <c r="H9" s="79"/>
      <c r="I9" s="149"/>
      <c r="J9" s="188" t="str">
        <f t="shared" si="4"/>
        <v/>
      </c>
      <c r="K9" s="150">
        <f>IF(Basisgegevens!$F$1="JA",IF(D9="",0,(1-D9)+(E9)-G9),(E9-D9)-G9)</f>
        <v>0</v>
      </c>
      <c r="L9" s="44" t="str">
        <f t="shared" si="0"/>
        <v/>
      </c>
      <c r="M9" s="150">
        <f t="shared" si="5"/>
        <v>0</v>
      </c>
      <c r="N9" s="44" t="str">
        <f t="shared" si="9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T9" s="100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2"/>
        <v>2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>IF(W$33=Z8,"",Z8+1)</f>
        <v/>
      </c>
      <c r="AA9" s="212" t="str">
        <f t="shared" si="10"/>
        <v/>
      </c>
      <c r="AB9" s="212" t="str">
        <f t="shared" si="14"/>
        <v/>
      </c>
      <c r="AC9" s="64" t="str">
        <f t="shared" si="12"/>
        <v/>
      </c>
      <c r="AD9" s="239" t="str">
        <f t="shared" si="13"/>
        <v/>
      </c>
      <c r="AE9" s="4">
        <f t="shared" si="7"/>
        <v>0</v>
      </c>
    </row>
    <row r="10" spans="1:31" ht="16.5" thickBot="1" x14ac:dyDescent="0.3">
      <c r="A10" s="146" t="str">
        <f t="shared" si="8"/>
        <v>Donderdag</v>
      </c>
      <c r="B10" s="226">
        <f t="shared" si="3"/>
        <v>46030</v>
      </c>
      <c r="C10" s="224"/>
      <c r="D10" s="149"/>
      <c r="E10" s="149"/>
      <c r="F10" s="156"/>
      <c r="G10" s="149"/>
      <c r="H10" s="79"/>
      <c r="I10" s="149"/>
      <c r="J10" s="188" t="str">
        <f t="shared" si="4"/>
        <v/>
      </c>
      <c r="K10" s="150">
        <f>IF(Basisgegevens!$F$1="JA",IF(D10="",0,(1-D10)+(E10)-G10),(E10-D10)-G10)</f>
        <v>0</v>
      </c>
      <c r="L10" s="44" t="str">
        <f t="shared" si="0"/>
        <v/>
      </c>
      <c r="M10" s="150">
        <f t="shared" si="5"/>
        <v>0</v>
      </c>
      <c r="N10" s="44" t="str">
        <f t="shared" si="9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T10" s="100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2"/>
        <v>2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7"/>
        <v>0</v>
      </c>
    </row>
    <row r="11" spans="1:31" ht="16.5" thickBot="1" x14ac:dyDescent="0.3">
      <c r="A11" s="146" t="str">
        <f t="shared" si="8"/>
        <v>Vrijdag</v>
      </c>
      <c r="B11" s="226">
        <f t="shared" si="3"/>
        <v>46031</v>
      </c>
      <c r="C11" s="224"/>
      <c r="D11" s="149"/>
      <c r="E11" s="149"/>
      <c r="F11" s="156"/>
      <c r="G11" s="149"/>
      <c r="H11" s="79"/>
      <c r="I11" s="149"/>
      <c r="J11" s="188" t="str">
        <f t="shared" si="4"/>
        <v/>
      </c>
      <c r="K11" s="150">
        <f>IF(Basisgegevens!$F$1="JA",IF(D11="",0,(1-D11)+(E11)-G11),(E11-D11)-G11)</f>
        <v>0</v>
      </c>
      <c r="L11" s="44" t="str">
        <f t="shared" si="0"/>
        <v/>
      </c>
      <c r="M11" s="150">
        <f t="shared" si="5"/>
        <v>0</v>
      </c>
      <c r="N11" s="44" t="str">
        <f t="shared" si="9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T11" s="100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2"/>
        <v>2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7"/>
        <v>0</v>
      </c>
    </row>
    <row r="12" spans="1:31" x14ac:dyDescent="0.25">
      <c r="A12" s="146" t="str">
        <f t="shared" si="8"/>
        <v>Zaterdag</v>
      </c>
      <c r="B12" s="226">
        <f t="shared" si="3"/>
        <v>46032</v>
      </c>
      <c r="C12" s="224"/>
      <c r="D12" s="149"/>
      <c r="E12" s="149"/>
      <c r="F12" s="156"/>
      <c r="G12" s="149"/>
      <c r="H12" s="79"/>
      <c r="I12" s="149"/>
      <c r="J12" s="188" t="str">
        <f t="shared" si="4"/>
        <v/>
      </c>
      <c r="K12" s="150">
        <f>IF(Basisgegevens!$F$1="JA",IF(D12="",0,(1-D12)+(E12)-G12),(E12-D12)-G12)</f>
        <v>0</v>
      </c>
      <c r="L12" s="44" t="str">
        <f t="shared" si="0"/>
        <v/>
      </c>
      <c r="M12" s="150">
        <f t="shared" si="5"/>
        <v>0</v>
      </c>
      <c r="N12" s="44" t="str">
        <f t="shared" si="9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T12" s="100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2"/>
        <v>2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5">Z4</f>
        <v>1</v>
      </c>
      <c r="AA12" s="207">
        <f>IF(AA4="","",AA4*24)</f>
        <v>0</v>
      </c>
      <c r="AB12" s="207">
        <f t="shared" ref="AB12:AC12" si="16">IF(AB4="","",AB4*24)</f>
        <v>0</v>
      </c>
      <c r="AC12" s="203">
        <f t="shared" si="16"/>
        <v>0</v>
      </c>
      <c r="AE12" s="4">
        <f t="shared" si="7"/>
        <v>0</v>
      </c>
    </row>
    <row r="13" spans="1:31" x14ac:dyDescent="0.25">
      <c r="A13" s="146" t="str">
        <f t="shared" si="8"/>
        <v>Zondag</v>
      </c>
      <c r="B13" s="226">
        <f t="shared" si="3"/>
        <v>46033</v>
      </c>
      <c r="C13" s="224"/>
      <c r="D13" s="149"/>
      <c r="E13" s="149"/>
      <c r="F13" s="156"/>
      <c r="G13" s="149"/>
      <c r="H13" s="79"/>
      <c r="I13" s="149"/>
      <c r="J13" s="188" t="str">
        <f t="shared" si="4"/>
        <v/>
      </c>
      <c r="K13" s="150">
        <f>IF(Basisgegevens!$F$1="JA",IF(D13="",0,(1-D13)+(E13)-G13),(E13-D13)-G13)</f>
        <v>0</v>
      </c>
      <c r="L13" s="44" t="str">
        <f t="shared" si="0"/>
        <v/>
      </c>
      <c r="M13" s="150">
        <f t="shared" si="5"/>
        <v>0</v>
      </c>
      <c r="N13" s="44" t="str">
        <f t="shared" si="9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T13" s="100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2"/>
        <v>2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5"/>
        <v>2</v>
      </c>
      <c r="AA13" s="208">
        <f t="shared" ref="AA13:AC17" si="17">IF(AA5="","",AA5*24)</f>
        <v>0</v>
      </c>
      <c r="AB13" s="208">
        <f t="shared" si="17"/>
        <v>0</v>
      </c>
      <c r="AC13" s="204">
        <f t="shared" si="17"/>
        <v>0</v>
      </c>
      <c r="AE13" s="4">
        <f t="shared" si="7"/>
        <v>0</v>
      </c>
    </row>
    <row r="14" spans="1:31" x14ac:dyDescent="0.25">
      <c r="A14" s="146" t="str">
        <f t="shared" si="8"/>
        <v>Maandag</v>
      </c>
      <c r="B14" s="226">
        <f t="shared" si="3"/>
        <v>46034</v>
      </c>
      <c r="C14" s="224"/>
      <c r="D14" s="149"/>
      <c r="E14" s="149"/>
      <c r="F14" s="156"/>
      <c r="G14" s="149"/>
      <c r="H14" s="79"/>
      <c r="I14" s="149"/>
      <c r="J14" s="188" t="str">
        <f t="shared" si="4"/>
        <v/>
      </c>
      <c r="K14" s="150">
        <f>IF(Basisgegevens!$F$1="JA",IF(D14="",0,(1-D14)+(E14)-G14),(E14-D14)-G14)</f>
        <v>0</v>
      </c>
      <c r="L14" s="44" t="str">
        <f t="shared" si="0"/>
        <v/>
      </c>
      <c r="M14" s="150">
        <f t="shared" si="5"/>
        <v>0</v>
      </c>
      <c r="N14" s="44" t="str">
        <f t="shared" si="9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T14" s="100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2"/>
        <v>3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5"/>
        <v>3</v>
      </c>
      <c r="AA14" s="208">
        <f t="shared" si="17"/>
        <v>0</v>
      </c>
      <c r="AB14" s="208">
        <f t="shared" si="17"/>
        <v>0</v>
      </c>
      <c r="AC14" s="204">
        <f t="shared" si="17"/>
        <v>0</v>
      </c>
      <c r="AE14" s="4">
        <f t="shared" si="7"/>
        <v>0</v>
      </c>
    </row>
    <row r="15" spans="1:31" x14ac:dyDescent="0.25">
      <c r="A15" s="146" t="str">
        <f t="shared" si="8"/>
        <v>Dinsdag</v>
      </c>
      <c r="B15" s="226">
        <f t="shared" si="3"/>
        <v>46035</v>
      </c>
      <c r="C15" s="224"/>
      <c r="D15" s="149"/>
      <c r="E15" s="149"/>
      <c r="F15" s="156"/>
      <c r="G15" s="149"/>
      <c r="H15" s="79"/>
      <c r="I15" s="149"/>
      <c r="J15" s="188" t="str">
        <f t="shared" si="4"/>
        <v/>
      </c>
      <c r="K15" s="150">
        <f>IF(Basisgegevens!$F$1="JA",IF(D15="",0,(1-D15)+(E15)-G15),(E15-D15)-G15)</f>
        <v>0</v>
      </c>
      <c r="L15" s="44" t="str">
        <f t="shared" si="0"/>
        <v/>
      </c>
      <c r="M15" s="150">
        <f t="shared" si="5"/>
        <v>0</v>
      </c>
      <c r="N15" s="44" t="str">
        <f t="shared" si="9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T15" s="100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2"/>
        <v>3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5"/>
        <v>4</v>
      </c>
      <c r="AA15" s="208">
        <f t="shared" si="17"/>
        <v>0</v>
      </c>
      <c r="AB15" s="208">
        <f t="shared" si="17"/>
        <v>0</v>
      </c>
      <c r="AC15" s="204">
        <f t="shared" si="17"/>
        <v>0</v>
      </c>
      <c r="AE15" s="4">
        <f t="shared" si="7"/>
        <v>0</v>
      </c>
    </row>
    <row r="16" spans="1:31" x14ac:dyDescent="0.25">
      <c r="A16" s="146" t="str">
        <f t="shared" si="8"/>
        <v>Woensdag</v>
      </c>
      <c r="B16" s="226">
        <f t="shared" si="3"/>
        <v>46036</v>
      </c>
      <c r="C16" s="224"/>
      <c r="D16" s="149"/>
      <c r="E16" s="149"/>
      <c r="F16" s="156"/>
      <c r="G16" s="149"/>
      <c r="H16" s="79"/>
      <c r="I16" s="149"/>
      <c r="J16" s="188" t="str">
        <f t="shared" si="4"/>
        <v/>
      </c>
      <c r="K16" s="150">
        <f>IF(Basisgegevens!$F$1="JA",IF(D16="",0,(1-D16)+(E16)-G16),(E16-D16)-G16)</f>
        <v>0</v>
      </c>
      <c r="L16" s="44" t="str">
        <f t="shared" si="0"/>
        <v/>
      </c>
      <c r="M16" s="150">
        <f t="shared" si="5"/>
        <v>0</v>
      </c>
      <c r="N16" s="44" t="str">
        <f t="shared" si="9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T16" s="100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2"/>
        <v>3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5"/>
        <v>5</v>
      </c>
      <c r="AA16" s="208">
        <f t="shared" si="17"/>
        <v>0</v>
      </c>
      <c r="AB16" s="208">
        <f t="shared" si="17"/>
        <v>0</v>
      </c>
      <c r="AC16" s="204">
        <f t="shared" si="17"/>
        <v>0</v>
      </c>
      <c r="AE16" s="4">
        <f t="shared" si="7"/>
        <v>0</v>
      </c>
    </row>
    <row r="17" spans="1:31" ht="16.5" thickBot="1" x14ac:dyDescent="0.3">
      <c r="A17" s="146" t="str">
        <f t="shared" si="8"/>
        <v>Donderdag</v>
      </c>
      <c r="B17" s="226">
        <f t="shared" si="3"/>
        <v>46037</v>
      </c>
      <c r="C17" s="224"/>
      <c r="D17" s="149"/>
      <c r="E17" s="149"/>
      <c r="F17" s="156"/>
      <c r="G17" s="149"/>
      <c r="H17" s="79"/>
      <c r="I17" s="149"/>
      <c r="J17" s="188" t="str">
        <f t="shared" si="4"/>
        <v/>
      </c>
      <c r="K17" s="150">
        <f>IF(Basisgegevens!$F$1="JA",IF(D17="",0,(1-D17)+(E17)-G17),(E17-D17)-G17)</f>
        <v>0</v>
      </c>
      <c r="L17" s="44" t="str">
        <f t="shared" si="0"/>
        <v/>
      </c>
      <c r="M17" s="150">
        <f t="shared" si="5"/>
        <v>0</v>
      </c>
      <c r="N17" s="44" t="str">
        <f t="shared" si="9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T17" s="100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2"/>
        <v>3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5"/>
        <v/>
      </c>
      <c r="AA17" s="209" t="str">
        <f t="shared" si="17"/>
        <v/>
      </c>
      <c r="AB17" s="209" t="str">
        <f t="shared" si="17"/>
        <v/>
      </c>
      <c r="AC17" s="205" t="str">
        <f t="shared" si="17"/>
        <v/>
      </c>
      <c r="AE17" s="4">
        <f t="shared" si="7"/>
        <v>0</v>
      </c>
    </row>
    <row r="18" spans="1:31" x14ac:dyDescent="0.25">
      <c r="A18" s="146" t="str">
        <f t="shared" si="8"/>
        <v>Vrijdag</v>
      </c>
      <c r="B18" s="226">
        <f t="shared" si="3"/>
        <v>46038</v>
      </c>
      <c r="C18" s="224"/>
      <c r="D18" s="149"/>
      <c r="E18" s="149"/>
      <c r="F18" s="156"/>
      <c r="G18" s="149"/>
      <c r="H18" s="79"/>
      <c r="I18" s="149"/>
      <c r="J18" s="188" t="str">
        <f t="shared" si="4"/>
        <v/>
      </c>
      <c r="K18" s="150">
        <f>IF(Basisgegevens!$F$1="JA",IF(D18="",0,(1-D18)+(E18)-G18),(E18-D18)-G18)</f>
        <v>0</v>
      </c>
      <c r="L18" s="44" t="str">
        <f t="shared" si="0"/>
        <v/>
      </c>
      <c r="M18" s="150">
        <f t="shared" si="5"/>
        <v>0</v>
      </c>
      <c r="N18" s="44" t="str">
        <f t="shared" si="9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T18" s="100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2"/>
        <v>3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7"/>
        <v>0</v>
      </c>
    </row>
    <row r="19" spans="1:31" x14ac:dyDescent="0.25">
      <c r="A19" s="146" t="str">
        <f t="shared" si="8"/>
        <v>Zaterdag</v>
      </c>
      <c r="B19" s="226">
        <f t="shared" si="3"/>
        <v>46039</v>
      </c>
      <c r="C19" s="224"/>
      <c r="D19" s="149"/>
      <c r="E19" s="149"/>
      <c r="F19" s="156"/>
      <c r="G19" s="149"/>
      <c r="H19" s="79"/>
      <c r="I19" s="149"/>
      <c r="J19" s="188" t="str">
        <f t="shared" si="4"/>
        <v/>
      </c>
      <c r="K19" s="150">
        <f>IF(Basisgegevens!$F$1="JA",IF(D19="",0,(1-D19)+(E19)-G19),(E19-D19)-G19)</f>
        <v>0</v>
      </c>
      <c r="L19" s="44" t="str">
        <f t="shared" si="0"/>
        <v/>
      </c>
      <c r="M19" s="150">
        <f t="shared" si="5"/>
        <v>0</v>
      </c>
      <c r="N19" s="44" t="str">
        <f t="shared" si="9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2"/>
        <v>3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7"/>
        <v>0</v>
      </c>
    </row>
    <row r="20" spans="1:31" x14ac:dyDescent="0.25">
      <c r="A20" s="146" t="str">
        <f t="shared" si="8"/>
        <v>Zondag</v>
      </c>
      <c r="B20" s="226">
        <f t="shared" si="3"/>
        <v>46040</v>
      </c>
      <c r="C20" s="224"/>
      <c r="D20" s="224"/>
      <c r="E20" s="149"/>
      <c r="F20" s="156"/>
      <c r="G20" s="149"/>
      <c r="H20" s="79"/>
      <c r="I20" s="149"/>
      <c r="J20" s="188" t="str">
        <f t="shared" si="4"/>
        <v/>
      </c>
      <c r="K20" s="150">
        <f>IF(Basisgegevens!$F$1="JA",IF(D20="",0,(1-D20)+(E20)-G20),(E20-D20)-G20)</f>
        <v>0</v>
      </c>
      <c r="L20" s="44" t="str">
        <f t="shared" si="0"/>
        <v/>
      </c>
      <c r="M20" s="150">
        <f t="shared" si="5"/>
        <v>0</v>
      </c>
      <c r="N20" s="44" t="str">
        <f t="shared" si="9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2"/>
        <v>3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7"/>
        <v>0</v>
      </c>
    </row>
    <row r="21" spans="1:31" x14ac:dyDescent="0.25">
      <c r="A21" s="146" t="str">
        <f t="shared" si="8"/>
        <v>Maandag</v>
      </c>
      <c r="B21" s="226">
        <f t="shared" si="3"/>
        <v>46041</v>
      </c>
      <c r="C21" s="224"/>
      <c r="D21" s="224"/>
      <c r="E21" s="149"/>
      <c r="F21" s="156"/>
      <c r="G21" s="149"/>
      <c r="H21" s="79"/>
      <c r="I21" s="149"/>
      <c r="J21" s="188" t="str">
        <f t="shared" si="4"/>
        <v/>
      </c>
      <c r="K21" s="150">
        <f>IF(Basisgegevens!$F$1="JA",IF(D21="",0,(1-D21)+(E21)-G21),(E21-D21)-G21)</f>
        <v>0</v>
      </c>
      <c r="L21" s="44" t="str">
        <f t="shared" si="0"/>
        <v/>
      </c>
      <c r="M21" s="150">
        <f t="shared" si="5"/>
        <v>0</v>
      </c>
      <c r="N21" s="44" t="str">
        <f t="shared" si="9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T21" s="100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2"/>
        <v>4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7"/>
        <v>0</v>
      </c>
    </row>
    <row r="22" spans="1:31" x14ac:dyDescent="0.25">
      <c r="A22" s="146" t="str">
        <f t="shared" si="8"/>
        <v>Dinsdag</v>
      </c>
      <c r="B22" s="226">
        <f t="shared" si="3"/>
        <v>46042</v>
      </c>
      <c r="C22" s="224"/>
      <c r="D22" s="149"/>
      <c r="E22" s="149"/>
      <c r="F22" s="156"/>
      <c r="G22" s="149"/>
      <c r="H22" s="79"/>
      <c r="I22" s="149"/>
      <c r="J22" s="188" t="str">
        <f t="shared" si="4"/>
        <v/>
      </c>
      <c r="K22" s="150">
        <f>IF(Basisgegevens!$F$1="JA",IF(D22="",0,(1-D22)+(E22)-G22),(E22-D22)-G22)</f>
        <v>0</v>
      </c>
      <c r="L22" s="44" t="str">
        <f t="shared" si="0"/>
        <v/>
      </c>
      <c r="M22" s="150">
        <f t="shared" si="5"/>
        <v>0</v>
      </c>
      <c r="N22" s="44" t="str">
        <f t="shared" si="9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T22" s="100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2"/>
        <v>4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7"/>
        <v>0</v>
      </c>
    </row>
    <row r="23" spans="1:31" x14ac:dyDescent="0.25">
      <c r="A23" s="146" t="str">
        <f t="shared" si="8"/>
        <v>Woensdag</v>
      </c>
      <c r="B23" s="226">
        <f t="shared" si="3"/>
        <v>46043</v>
      </c>
      <c r="C23" s="224"/>
      <c r="D23" s="149"/>
      <c r="E23" s="149"/>
      <c r="F23" s="156"/>
      <c r="G23" s="149"/>
      <c r="H23" s="79"/>
      <c r="I23" s="149"/>
      <c r="J23" s="188" t="str">
        <f t="shared" si="4"/>
        <v/>
      </c>
      <c r="K23" s="150">
        <f>IF(Basisgegevens!$F$1="JA",IF(D23="",0,(1-D23)+(E23)-G23),(E23-D23)-G23)</f>
        <v>0</v>
      </c>
      <c r="L23" s="44" t="str">
        <f t="shared" si="0"/>
        <v/>
      </c>
      <c r="M23" s="150">
        <f t="shared" si="5"/>
        <v>0</v>
      </c>
      <c r="N23" s="44" t="str">
        <f t="shared" si="9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T23" s="100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2"/>
        <v>4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7"/>
        <v>0</v>
      </c>
    </row>
    <row r="24" spans="1:31" x14ac:dyDescent="0.25">
      <c r="A24" s="146" t="str">
        <f t="shared" si="8"/>
        <v>Donderdag</v>
      </c>
      <c r="B24" s="226">
        <f t="shared" si="3"/>
        <v>46044</v>
      </c>
      <c r="C24" s="224"/>
      <c r="D24" s="149"/>
      <c r="E24" s="149"/>
      <c r="F24" s="156"/>
      <c r="G24" s="149"/>
      <c r="H24" s="79"/>
      <c r="I24" s="149"/>
      <c r="J24" s="188" t="str">
        <f t="shared" si="4"/>
        <v/>
      </c>
      <c r="K24" s="150">
        <f>IF(Basisgegevens!$F$1="JA",IF(D24="",0,(1-D24)+(E24)-G24),(E24-D24)-G24)</f>
        <v>0</v>
      </c>
      <c r="L24" s="44" t="str">
        <f t="shared" si="0"/>
        <v/>
      </c>
      <c r="M24" s="150">
        <f t="shared" si="5"/>
        <v>0</v>
      </c>
      <c r="N24" s="44" t="str">
        <f t="shared" si="9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T24" s="100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2"/>
        <v>4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7"/>
        <v>0</v>
      </c>
    </row>
    <row r="25" spans="1:31" x14ac:dyDescent="0.25">
      <c r="A25" s="146" t="str">
        <f t="shared" si="8"/>
        <v>Vrijdag</v>
      </c>
      <c r="B25" s="226">
        <f t="shared" si="3"/>
        <v>46045</v>
      </c>
      <c r="C25" s="224"/>
      <c r="D25" s="149"/>
      <c r="E25" s="149"/>
      <c r="F25" s="156"/>
      <c r="G25" s="149"/>
      <c r="H25" s="79"/>
      <c r="I25" s="149"/>
      <c r="J25" s="188" t="str">
        <f t="shared" si="4"/>
        <v/>
      </c>
      <c r="K25" s="150">
        <f>IF(Basisgegevens!$F$1="JA",IF(D25="",0,(1-D25)+(E25)-G25),(E25-D25)-G25)</f>
        <v>0</v>
      </c>
      <c r="L25" s="44" t="str">
        <f t="shared" si="0"/>
        <v/>
      </c>
      <c r="M25" s="150">
        <f t="shared" si="5"/>
        <v>0</v>
      </c>
      <c r="N25" s="44" t="str">
        <f t="shared" si="9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T25" s="100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2"/>
        <v>4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7"/>
        <v>0</v>
      </c>
    </row>
    <row r="26" spans="1:31" x14ac:dyDescent="0.25">
      <c r="A26" s="146" t="str">
        <f t="shared" si="8"/>
        <v>Zaterdag</v>
      </c>
      <c r="B26" s="226">
        <f t="shared" si="3"/>
        <v>46046</v>
      </c>
      <c r="C26" s="224"/>
      <c r="D26" s="149"/>
      <c r="E26" s="149"/>
      <c r="F26" s="156"/>
      <c r="G26" s="149"/>
      <c r="H26" s="79"/>
      <c r="I26" s="149"/>
      <c r="J26" s="188" t="str">
        <f t="shared" si="4"/>
        <v/>
      </c>
      <c r="K26" s="150">
        <f>IF(Basisgegevens!$F$1="JA",IF(D26="",0,(1-D26)+(E26)-G26),(E26-D26)-G26)</f>
        <v>0</v>
      </c>
      <c r="L26" s="44" t="str">
        <f t="shared" si="0"/>
        <v/>
      </c>
      <c r="M26" s="150">
        <f t="shared" si="5"/>
        <v>0</v>
      </c>
      <c r="N26" s="44" t="str">
        <f t="shared" si="9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2"/>
        <v>4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7"/>
        <v>0</v>
      </c>
    </row>
    <row r="27" spans="1:31" x14ac:dyDescent="0.25">
      <c r="A27" s="146" t="str">
        <f t="shared" si="8"/>
        <v>Zondag</v>
      </c>
      <c r="B27" s="226">
        <f t="shared" si="3"/>
        <v>46047</v>
      </c>
      <c r="C27" s="224"/>
      <c r="D27" s="149"/>
      <c r="E27" s="149"/>
      <c r="F27" s="156"/>
      <c r="G27" s="149"/>
      <c r="H27" s="79"/>
      <c r="I27" s="149"/>
      <c r="J27" s="188" t="str">
        <f t="shared" si="4"/>
        <v/>
      </c>
      <c r="K27" s="150">
        <f>IF(Basisgegevens!$F$1="JA",IF(D27="",0,(1-D27)+(E27)-G27),(E27-D27)-G27)</f>
        <v>0</v>
      </c>
      <c r="L27" s="44" t="str">
        <f t="shared" si="0"/>
        <v/>
      </c>
      <c r="M27" s="150">
        <f t="shared" si="5"/>
        <v>0</v>
      </c>
      <c r="N27" s="44" t="str">
        <f t="shared" si="9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2"/>
        <v>4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7"/>
        <v>0</v>
      </c>
    </row>
    <row r="28" spans="1:31" x14ac:dyDescent="0.25">
      <c r="A28" s="146" t="str">
        <f t="shared" si="8"/>
        <v>Maandag</v>
      </c>
      <c r="B28" s="226">
        <f t="shared" si="3"/>
        <v>46048</v>
      </c>
      <c r="C28" s="224"/>
      <c r="D28" s="149"/>
      <c r="E28" s="149"/>
      <c r="F28" s="156"/>
      <c r="G28" s="149"/>
      <c r="H28" s="79"/>
      <c r="I28" s="149"/>
      <c r="J28" s="188" t="str">
        <f t="shared" si="4"/>
        <v/>
      </c>
      <c r="K28" s="150">
        <f>IF(Basisgegevens!$F$1="JA",IF(D28="",0,(1-D28)+(E28)-G28),(E28-D28)-G28)</f>
        <v>0</v>
      </c>
      <c r="L28" s="44" t="str">
        <f t="shared" si="0"/>
        <v/>
      </c>
      <c r="M28" s="150">
        <f t="shared" si="5"/>
        <v>0</v>
      </c>
      <c r="N28" s="44" t="str">
        <f t="shared" si="9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T28" s="100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2"/>
        <v>5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7"/>
        <v>0</v>
      </c>
    </row>
    <row r="29" spans="1:31" x14ac:dyDescent="0.25">
      <c r="A29" s="146" t="str">
        <f t="shared" si="8"/>
        <v>Dinsdag</v>
      </c>
      <c r="B29" s="226">
        <f t="shared" si="3"/>
        <v>46049</v>
      </c>
      <c r="C29" s="224"/>
      <c r="D29" s="149"/>
      <c r="E29" s="149"/>
      <c r="F29" s="156"/>
      <c r="G29" s="149"/>
      <c r="H29" s="79"/>
      <c r="I29" s="149"/>
      <c r="J29" s="188" t="str">
        <f t="shared" si="4"/>
        <v/>
      </c>
      <c r="K29" s="150">
        <f>IF(Basisgegevens!$F$1="JA",IF(D29="",0,(1-D29)+(E29)-G29),(E29-D29)-G29)</f>
        <v>0</v>
      </c>
      <c r="L29" s="44" t="str">
        <f t="shared" si="0"/>
        <v/>
      </c>
      <c r="M29" s="150">
        <f t="shared" si="5"/>
        <v>0</v>
      </c>
      <c r="N29" s="44" t="str">
        <f t="shared" si="9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T29" s="100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2"/>
        <v>5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7"/>
        <v>0</v>
      </c>
    </row>
    <row r="30" spans="1:31" x14ac:dyDescent="0.25">
      <c r="A30" s="146" t="str">
        <f t="shared" si="8"/>
        <v>Woensdag</v>
      </c>
      <c r="B30" s="226">
        <f t="shared" si="3"/>
        <v>46050</v>
      </c>
      <c r="C30" s="224"/>
      <c r="D30" s="149"/>
      <c r="E30" s="149"/>
      <c r="F30" s="156"/>
      <c r="G30" s="149"/>
      <c r="H30" s="79"/>
      <c r="I30" s="149"/>
      <c r="J30" s="188" t="str">
        <f t="shared" si="4"/>
        <v/>
      </c>
      <c r="K30" s="150">
        <f>IF(Basisgegevens!$F$1="JA",IF(D30="",0,(1-D30)+(E30)-G30),(E30-D30)-G30)</f>
        <v>0</v>
      </c>
      <c r="L30" s="44" t="str">
        <f t="shared" si="0"/>
        <v/>
      </c>
      <c r="M30" s="150">
        <f t="shared" si="5"/>
        <v>0</v>
      </c>
      <c r="N30" s="44" t="str">
        <f t="shared" si="9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T30" s="100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2"/>
        <v>5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7"/>
        <v>0</v>
      </c>
    </row>
    <row r="31" spans="1:31" x14ac:dyDescent="0.25">
      <c r="A31" s="146" t="str">
        <f t="shared" si="8"/>
        <v>Donderdag</v>
      </c>
      <c r="B31" s="226">
        <f>B30+1</f>
        <v>46051</v>
      </c>
      <c r="C31" s="224"/>
      <c r="D31" s="149"/>
      <c r="E31" s="149"/>
      <c r="F31" s="156"/>
      <c r="G31" s="149"/>
      <c r="H31" s="79"/>
      <c r="I31" s="149"/>
      <c r="J31" s="188" t="str">
        <f t="shared" si="4"/>
        <v/>
      </c>
      <c r="K31" s="150">
        <f>IF(Basisgegevens!$F$1="JA",IF(D31="",0,(1-D31)+(E31)-G31),(E31-D31)-G31)</f>
        <v>0</v>
      </c>
      <c r="L31" s="44" t="str">
        <f t="shared" si="0"/>
        <v/>
      </c>
      <c r="M31" s="150">
        <f t="shared" si="5"/>
        <v>0</v>
      </c>
      <c r="N31" s="44" t="str">
        <f t="shared" si="9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T31" s="100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2"/>
        <v>5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7"/>
        <v>0</v>
      </c>
    </row>
    <row r="32" spans="1:31" x14ac:dyDescent="0.25">
      <c r="A32" s="146" t="str">
        <f t="shared" si="8"/>
        <v>Vrijdag</v>
      </c>
      <c r="B32" s="226">
        <f>B31+1</f>
        <v>46052</v>
      </c>
      <c r="C32" s="224"/>
      <c r="D32" s="149"/>
      <c r="E32" s="149"/>
      <c r="F32" s="156"/>
      <c r="G32" s="149"/>
      <c r="H32" s="79"/>
      <c r="I32" s="149"/>
      <c r="J32" s="188" t="str">
        <f t="shared" si="4"/>
        <v/>
      </c>
      <c r="K32" s="150">
        <f>IF(Basisgegevens!$F$1="JA",IF(D32="",0,(1-D32)+(E32)-G32),(E32-D32)-G32)</f>
        <v>0</v>
      </c>
      <c r="L32" s="44" t="str">
        <f t="shared" si="0"/>
        <v/>
      </c>
      <c r="M32" s="150">
        <f t="shared" si="5"/>
        <v>0</v>
      </c>
      <c r="N32" s="44" t="str">
        <f t="shared" si="9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T32" s="100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2"/>
        <v>5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7"/>
        <v>0</v>
      </c>
    </row>
    <row r="33" spans="1:31" x14ac:dyDescent="0.25">
      <c r="A33" s="146" t="str">
        <f t="shared" si="8"/>
        <v>Zaterdag</v>
      </c>
      <c r="B33" s="226">
        <f>B32+1</f>
        <v>46053</v>
      </c>
      <c r="C33" s="224"/>
      <c r="D33" s="149"/>
      <c r="E33" s="149"/>
      <c r="F33" s="156"/>
      <c r="G33" s="149"/>
      <c r="H33" s="79"/>
      <c r="I33" s="149"/>
      <c r="J33" s="188" t="str">
        <f t="shared" si="4"/>
        <v/>
      </c>
      <c r="K33" s="150">
        <f>IF(Basisgegevens!$F$1="JA",IF(D33="",0,(1-D33)+(E33)-G33),(E33-D33)-G33)</f>
        <v>0</v>
      </c>
      <c r="L33" s="44" t="str">
        <f t="shared" si="0"/>
        <v/>
      </c>
      <c r="M33" s="150">
        <f t="shared" si="5"/>
        <v>0</v>
      </c>
      <c r="N33" s="44" t="str">
        <f t="shared" si="9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2"/>
        <v>5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09"/>
      <c r="AA33" s="309"/>
      <c r="AB33" s="309"/>
      <c r="AC33" s="309"/>
      <c r="AE33" s="4">
        <f t="shared" si="7"/>
        <v>0</v>
      </c>
    </row>
    <row r="34" spans="1:31" x14ac:dyDescent="0.25">
      <c r="A34" s="2"/>
      <c r="B34" s="8"/>
      <c r="C34" s="8"/>
      <c r="H34" s="8"/>
      <c r="K34" s="3"/>
      <c r="L34" s="44"/>
      <c r="M34" s="3"/>
      <c r="N34" s="44"/>
      <c r="O34" s="150"/>
      <c r="P34" s="71"/>
      <c r="Q34" s="72"/>
      <c r="W34" s="220"/>
      <c r="Z34" s="309"/>
      <c r="AA34" s="309"/>
      <c r="AB34" s="309"/>
      <c r="AC34" s="309"/>
    </row>
    <row r="35" spans="1:31" x14ac:dyDescent="0.25">
      <c r="A35" s="14"/>
      <c r="B35" s="5"/>
      <c r="C35" s="5"/>
      <c r="H35" s="5"/>
      <c r="I35" s="77" t="s">
        <v>15</v>
      </c>
      <c r="K35" s="89">
        <f t="shared" ref="K35:Y35" si="18">SUM(K3:K33)</f>
        <v>0</v>
      </c>
      <c r="L35" s="76">
        <f t="shared" si="18"/>
        <v>0</v>
      </c>
      <c r="M35" s="89">
        <f t="shared" ref="M35:N35" si="19">SUM(M3:M33)</f>
        <v>0</v>
      </c>
      <c r="N35" s="76">
        <f t="shared" si="19"/>
        <v>0</v>
      </c>
      <c r="O35" s="73">
        <f t="shared" si="18"/>
        <v>0</v>
      </c>
      <c r="P35" s="74">
        <f t="shared" si="18"/>
        <v>0</v>
      </c>
      <c r="Q35" s="75">
        <f t="shared" si="18"/>
        <v>0</v>
      </c>
      <c r="R35" s="154">
        <f t="shared" si="18"/>
        <v>0</v>
      </c>
      <c r="S35" s="154">
        <f t="shared" si="18"/>
        <v>0</v>
      </c>
      <c r="T35" s="141"/>
      <c r="U35" s="141"/>
      <c r="V35" s="141"/>
      <c r="W35" s="221"/>
      <c r="X35" s="97">
        <f t="shared" si="18"/>
        <v>0</v>
      </c>
      <c r="Y35" s="97">
        <f t="shared" si="18"/>
        <v>0</v>
      </c>
      <c r="Z35" s="309"/>
      <c r="AA35" s="309"/>
      <c r="AB35" s="309"/>
      <c r="AC35" s="309"/>
      <c r="AE35" s="4">
        <f>SUM(AE3:AE33)</f>
        <v>0</v>
      </c>
    </row>
    <row r="36" spans="1:31" x14ac:dyDescent="0.25">
      <c r="B36" s="5"/>
      <c r="C36" s="5"/>
      <c r="H36" s="5"/>
      <c r="K36"/>
      <c r="M36" s="306" t="s">
        <v>112</v>
      </c>
      <c r="N36" s="307"/>
      <c r="O36" s="26"/>
      <c r="P36" s="26"/>
      <c r="Q36" s="27"/>
      <c r="R36" s="293">
        <f>R35+S35</f>
        <v>0</v>
      </c>
      <c r="S36" s="294"/>
      <c r="W36" s="220"/>
      <c r="Z36" s="309"/>
      <c r="AA36" s="309"/>
      <c r="AB36" s="309"/>
      <c r="AC36" s="309"/>
    </row>
    <row r="37" spans="1:31" x14ac:dyDescent="0.25">
      <c r="A37" s="5"/>
      <c r="B37" s="5"/>
      <c r="C37" s="5"/>
      <c r="H37" s="5"/>
      <c r="K37" s="4"/>
      <c r="M37" s="292" t="s">
        <v>111</v>
      </c>
      <c r="N37" s="292"/>
      <c r="O37" s="28"/>
      <c r="P37" s="28"/>
      <c r="Q37" s="31"/>
      <c r="R37" s="293"/>
      <c r="S37" s="294"/>
      <c r="W37" s="220"/>
      <c r="Z37" s="309"/>
      <c r="AA37" s="309"/>
      <c r="AB37" s="309"/>
      <c r="AC37" s="309"/>
    </row>
    <row r="38" spans="1:31" x14ac:dyDescent="0.25">
      <c r="A38" s="5"/>
      <c r="B38" s="5"/>
      <c r="C38" s="5"/>
      <c r="H38" s="5"/>
      <c r="L38" s="55"/>
      <c r="M38" s="292" t="s">
        <v>113</v>
      </c>
      <c r="N38" s="292"/>
      <c r="O38" s="29"/>
      <c r="P38" s="29"/>
      <c r="Q38" s="10"/>
      <c r="R38" s="293">
        <f>((R36*Basisgegevens!D44)-(R37*Basisgegevens!D47))/Basisgegevens!D44</f>
        <v>0</v>
      </c>
      <c r="S38" s="294"/>
      <c r="W38" s="220"/>
      <c r="Z38" s="309"/>
      <c r="AA38" s="309"/>
      <c r="AB38" s="309"/>
      <c r="AC38" s="309"/>
    </row>
    <row r="39" spans="1:31" x14ac:dyDescent="0.25">
      <c r="A39" s="5"/>
      <c r="B39" s="5"/>
      <c r="C39" s="5"/>
      <c r="H39" s="5"/>
      <c r="K39" s="4"/>
      <c r="M39" s="4"/>
    </row>
    <row r="40" spans="1:31" x14ac:dyDescent="0.25">
      <c r="A40" s="5"/>
      <c r="B40" s="5"/>
      <c r="C40" s="5"/>
      <c r="H40" s="5"/>
    </row>
    <row r="41" spans="1:31" x14ac:dyDescent="0.25">
      <c r="A41" s="5"/>
      <c r="B41" s="5"/>
      <c r="C41" s="5"/>
      <c r="H41" s="5"/>
      <c r="O41" s="4"/>
      <c r="P41" s="4"/>
    </row>
    <row r="42" spans="1:31" x14ac:dyDescent="0.25">
      <c r="A42" s="5"/>
      <c r="B42" s="5"/>
      <c r="C42" s="5"/>
      <c r="H42" s="5"/>
    </row>
    <row r="43" spans="1:31" x14ac:dyDescent="0.25">
      <c r="A43" s="5"/>
      <c r="B43" s="5"/>
      <c r="C43" s="5"/>
      <c r="H43" s="5"/>
    </row>
    <row r="44" spans="1:31" x14ac:dyDescent="0.25">
      <c r="A44" s="5"/>
      <c r="B44" s="5"/>
      <c r="C44" s="5"/>
      <c r="H44" s="5"/>
      <c r="K44" s="4"/>
      <c r="M44" s="4"/>
    </row>
    <row r="45" spans="1:31" x14ac:dyDescent="0.25">
      <c r="A45" s="5"/>
      <c r="B45" s="5"/>
      <c r="C45" s="5"/>
      <c r="H45" s="5"/>
      <c r="K45" s="4"/>
      <c r="M45" s="4"/>
    </row>
    <row r="46" spans="1:31" x14ac:dyDescent="0.25">
      <c r="A46" s="5"/>
      <c r="B46" s="5"/>
      <c r="C46" s="5"/>
      <c r="H46" s="5"/>
    </row>
    <row r="47" spans="1:31" x14ac:dyDescent="0.25">
      <c r="A47" s="5"/>
      <c r="B47" s="5"/>
      <c r="C47" s="5"/>
      <c r="G47" s="10"/>
      <c r="H47" s="5"/>
    </row>
    <row r="48" spans="1:31" x14ac:dyDescent="0.25">
      <c r="A48" s="5"/>
      <c r="B48" s="5"/>
      <c r="C48" s="5"/>
      <c r="G48" s="10"/>
      <c r="H48" s="5"/>
    </row>
    <row r="49" spans="1:8" x14ac:dyDescent="0.25">
      <c r="A49" s="5"/>
      <c r="B49" s="5"/>
      <c r="C49" s="5"/>
      <c r="G49" s="10"/>
      <c r="H49" s="5"/>
    </row>
    <row r="50" spans="1:8" x14ac:dyDescent="0.25">
      <c r="A50" s="5"/>
      <c r="B50" s="5"/>
      <c r="C50" s="5"/>
      <c r="H50" s="5"/>
    </row>
    <row r="51" spans="1:8" x14ac:dyDescent="0.25">
      <c r="A51" s="5"/>
      <c r="B51" s="5"/>
      <c r="C51" s="5"/>
      <c r="H51" s="5"/>
    </row>
    <row r="52" spans="1:8" x14ac:dyDescent="0.25">
      <c r="A52" s="5"/>
      <c r="B52" s="5"/>
      <c r="C52" s="5"/>
      <c r="H52" s="5"/>
    </row>
    <row r="53" spans="1:8" x14ac:dyDescent="0.25">
      <c r="A53" s="5"/>
      <c r="B53" s="5"/>
      <c r="C53" s="5"/>
      <c r="H53" s="5"/>
    </row>
    <row r="54" spans="1:8" x14ac:dyDescent="0.25">
      <c r="A54" s="5"/>
      <c r="B54" s="5"/>
      <c r="C54" s="5"/>
      <c r="H54" s="5"/>
    </row>
    <row r="55" spans="1:8" x14ac:dyDescent="0.25">
      <c r="A55" s="5"/>
      <c r="B55" s="5"/>
      <c r="C55" s="5"/>
      <c r="H55" s="5"/>
    </row>
    <row r="56" spans="1:8" x14ac:dyDescent="0.25">
      <c r="A56" s="5"/>
      <c r="B56" s="5"/>
      <c r="C56" s="5"/>
      <c r="H56" s="5"/>
    </row>
    <row r="57" spans="1:8" x14ac:dyDescent="0.25">
      <c r="A57" s="5"/>
      <c r="B57" s="5"/>
      <c r="C57" s="5"/>
      <c r="H57" s="5"/>
    </row>
    <row r="58" spans="1:8" x14ac:dyDescent="0.25">
      <c r="A58" s="5"/>
      <c r="B58" s="5"/>
      <c r="C58" s="5"/>
      <c r="H58" s="5"/>
    </row>
    <row r="59" spans="1:8" x14ac:dyDescent="0.25">
      <c r="A59" s="5"/>
      <c r="B59" s="5"/>
      <c r="C59" s="5"/>
      <c r="H59" s="5"/>
    </row>
    <row r="60" spans="1:8" x14ac:dyDescent="0.25">
      <c r="A60" s="5"/>
      <c r="B60" s="5"/>
      <c r="C60" s="5"/>
      <c r="H60" s="5"/>
    </row>
    <row r="61" spans="1:8" x14ac:dyDescent="0.25">
      <c r="A61" s="5"/>
      <c r="B61" s="5"/>
      <c r="C61" s="5"/>
      <c r="H61" s="5"/>
    </row>
    <row r="62" spans="1:8" x14ac:dyDescent="0.25">
      <c r="A62" s="5"/>
      <c r="B62" s="5"/>
      <c r="C62" s="5"/>
      <c r="H62" s="5"/>
    </row>
    <row r="63" spans="1:8" x14ac:dyDescent="0.25">
      <c r="A63" s="5"/>
      <c r="B63" s="5"/>
      <c r="C63" s="5"/>
      <c r="H63" s="5"/>
    </row>
    <row r="64" spans="1:8" x14ac:dyDescent="0.25">
      <c r="A64" s="5"/>
      <c r="B64" s="5"/>
      <c r="C64" s="5"/>
      <c r="H64" s="5"/>
    </row>
    <row r="65" spans="1:8" x14ac:dyDescent="0.25">
      <c r="A65" s="5"/>
      <c r="B65" s="5"/>
      <c r="C65" s="5"/>
      <c r="H65" s="5"/>
    </row>
    <row r="66" spans="1:8" x14ac:dyDescent="0.25">
      <c r="A66" s="5"/>
      <c r="B66" s="5"/>
      <c r="C66" s="5"/>
      <c r="H66" s="5"/>
    </row>
    <row r="67" spans="1:8" x14ac:dyDescent="0.25">
      <c r="A67" s="5"/>
      <c r="B67" s="5"/>
      <c r="C67" s="5"/>
      <c r="H67" s="5"/>
    </row>
    <row r="68" spans="1:8" x14ac:dyDescent="0.25">
      <c r="A68" s="5"/>
      <c r="B68" s="5"/>
      <c r="C68" s="5"/>
      <c r="H68" s="5"/>
    </row>
    <row r="69" spans="1:8" x14ac:dyDescent="0.25">
      <c r="A69" s="5"/>
      <c r="B69" s="5"/>
      <c r="C69" s="5"/>
      <c r="H69" s="5"/>
    </row>
    <row r="70" spans="1:8" x14ac:dyDescent="0.25">
      <c r="A70" s="5"/>
      <c r="B70" s="5"/>
      <c r="C70" s="5"/>
      <c r="H70" s="5"/>
    </row>
    <row r="71" spans="1:8" x14ac:dyDescent="0.25">
      <c r="A71" s="5"/>
      <c r="B71" s="5"/>
      <c r="C71" s="5"/>
      <c r="H71" s="5"/>
    </row>
    <row r="72" spans="1:8" x14ac:dyDescent="0.25">
      <c r="A72" s="5"/>
      <c r="B72" s="5"/>
      <c r="C72" s="5"/>
      <c r="H72" s="5"/>
    </row>
    <row r="73" spans="1:8" x14ac:dyDescent="0.25">
      <c r="A73" s="5"/>
      <c r="B73" s="5"/>
      <c r="C73" s="5"/>
      <c r="H73" s="5"/>
    </row>
    <row r="74" spans="1:8" x14ac:dyDescent="0.25">
      <c r="A74" s="5"/>
      <c r="B74" s="5"/>
      <c r="C74" s="5"/>
      <c r="H74" s="5"/>
    </row>
    <row r="75" spans="1:8" x14ac:dyDescent="0.25">
      <c r="A75" s="5"/>
      <c r="B75" s="5"/>
      <c r="C75" s="5"/>
      <c r="H75" s="5"/>
    </row>
    <row r="76" spans="1:8" x14ac:dyDescent="0.25">
      <c r="A76" s="5"/>
      <c r="B76" s="5"/>
      <c r="C76" s="5"/>
      <c r="H76" s="5"/>
    </row>
    <row r="77" spans="1:8" x14ac:dyDescent="0.25">
      <c r="A77" s="5"/>
      <c r="B77" s="5"/>
      <c r="C77" s="5"/>
      <c r="H77" s="5"/>
    </row>
    <row r="78" spans="1:8" x14ac:dyDescent="0.25">
      <c r="A78" s="5"/>
      <c r="B78" s="5"/>
      <c r="C78" s="5"/>
      <c r="H78" s="5"/>
    </row>
    <row r="79" spans="1:8" x14ac:dyDescent="0.25">
      <c r="A79" s="5"/>
      <c r="B79" s="5"/>
      <c r="C79" s="5"/>
      <c r="H79" s="5"/>
    </row>
    <row r="80" spans="1:8" x14ac:dyDescent="0.25">
      <c r="A80" s="5"/>
      <c r="B80" s="5"/>
      <c r="C80" s="5"/>
      <c r="H80" s="5"/>
    </row>
    <row r="81" spans="1:8" x14ac:dyDescent="0.25">
      <c r="A81" s="5"/>
      <c r="B81" s="5"/>
      <c r="C81" s="5"/>
      <c r="H81" s="5"/>
    </row>
    <row r="82" spans="1:8" x14ac:dyDescent="0.25">
      <c r="A82" s="5"/>
      <c r="B82" s="5"/>
      <c r="C82" s="5"/>
      <c r="H82" s="5"/>
    </row>
    <row r="83" spans="1:8" x14ac:dyDescent="0.25">
      <c r="A83" s="5"/>
      <c r="B83" s="5"/>
      <c r="C83" s="5"/>
      <c r="H83" s="5"/>
    </row>
    <row r="84" spans="1:8" x14ac:dyDescent="0.25">
      <c r="A84" s="5"/>
      <c r="B84" s="5"/>
      <c r="C84" s="5"/>
      <c r="H84" s="5"/>
    </row>
  </sheetData>
  <mergeCells count="17">
    <mergeCell ref="Z18:AC38"/>
    <mergeCell ref="T1:T2"/>
    <mergeCell ref="U1:U2"/>
    <mergeCell ref="V1:V2"/>
    <mergeCell ref="W1:W2"/>
    <mergeCell ref="C1:G1"/>
    <mergeCell ref="A1:B2"/>
    <mergeCell ref="M37:N37"/>
    <mergeCell ref="R37:S37"/>
    <mergeCell ref="M36:N36"/>
    <mergeCell ref="M38:N38"/>
    <mergeCell ref="R38:S38"/>
    <mergeCell ref="K1:L1"/>
    <mergeCell ref="H1:I1"/>
    <mergeCell ref="R36:S36"/>
    <mergeCell ref="M1:N1"/>
    <mergeCell ref="J1:J2"/>
  </mergeCells>
  <phoneticPr fontId="0" type="noConversion"/>
  <conditionalFormatting sqref="A3:W33">
    <cfRule type="expression" dxfId="29" priority="9" stopIfTrue="1">
      <formula>WEEKDAY($B3)=7</formula>
    </cfRule>
    <cfRule type="expression" dxfId="28" priority="11" stopIfTrue="1">
      <formula>WEEKDAY($B3)=1</formula>
    </cfRule>
  </conditionalFormatting>
  <dataValidations count="1">
    <dataValidation type="list" allowBlank="1" sqref="H3:H33" xr:uid="{00000000-0002-0000-00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r:id="rId1"/>
  <headerFooter alignWithMargins="0"/>
  <ignoredErrors>
    <ignoredError sqref="Y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3">
    <pageSetUpPr fitToPage="1"/>
  </sheetPr>
  <dimension ref="A1:AF48"/>
  <sheetViews>
    <sheetView zoomScaleNormal="100" workbookViewId="0">
      <pane ySplit="2" topLeftCell="A3" activePane="bottomLeft" state="frozen"/>
      <selection activeCell="F48" sqref="F48"/>
      <selection pane="bottomLeft" activeCell="D5" sqref="D5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>IF(WEEKDAY(B3)=1,"Zondag",IF(WEEKDAY(B3)=2,"Maandag",IF(WEEKDAY(B3)=3,"Dinsdag",IF(WEEKDAY(B3)=4,"Woensdag",IF(WEEKDAY(B3)=5,"Donderdag",IF(WEEKDAY(B3)=6,"Vrijdag","Zaterdag"))))))</f>
        <v>Zondag</v>
      </c>
      <c r="B3" s="226">
        <f>Jan!B33+1</f>
        <v>46054</v>
      </c>
      <c r="C3" s="224"/>
      <c r="D3" s="149"/>
      <c r="E3" s="149"/>
      <c r="F3" s="156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:L30" si="0">IF(D3="","",ROUNDDOWN((HOUR(K3))+MINUTE(K3)/60,2))</f>
        <v/>
      </c>
      <c r="M3" s="150">
        <f>IF(C3="",0,(D3-C3)+(F3-E3))</f>
        <v>0</v>
      </c>
      <c r="N3" s="44" t="str">
        <f t="shared" ref="N3:N31" si="1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5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ref="A4:A29" si="2">IF(WEEKDAY(B4)=1,"Zondag",IF(WEEKDAY(B4)=2,"Maandag",IF(WEEKDAY(B4)=3,"Dinsdag",IF(WEEKDAY(B4)=4,"Woensdag",IF(WEEKDAY(B4)=5,"Donderdag",IF(WEEKDAY(B4)=6,"Vrijdag","Zaterdag"))))))</f>
        <v>Maandag</v>
      </c>
      <c r="B4" s="226">
        <f t="shared" ref="B4:B29" si="3">B3+1</f>
        <v>46055</v>
      </c>
      <c r="C4" s="224"/>
      <c r="D4" s="149"/>
      <c r="E4" s="149"/>
      <c r="F4" s="156"/>
      <c r="G4" s="149"/>
      <c r="H4" s="79"/>
      <c r="I4" s="149"/>
      <c r="J4" s="188" t="str">
        <f t="shared" ref="J4:J31" si="4">IF(I4="","",IF(HOUR(I4)&lt;5,0.5,1))</f>
        <v/>
      </c>
      <c r="K4" s="150">
        <f>IF(Basisgegevens!$F$1="JA",IF(D4="",0,(1-D4)+(E4)-G4),(E4-D4)-G4)</f>
        <v>0</v>
      </c>
      <c r="L4" s="44" t="str">
        <f t="shared" si="0"/>
        <v/>
      </c>
      <c r="M4" s="150">
        <f>IF(C4="",0,(D4-C4)+(F4-E4))</f>
        <v>0</v>
      </c>
      <c r="N4" s="44" t="str">
        <f t="shared" si="1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0" si="5">IF(WEEKDAY(B4)=1,(WEEKNUM(DATE(YEAR(B4),MONTH(B4),DAY(B4)),)-1),WEEKNUM(DATE(YEAR(B4),MONTH(B4),DAY(B4)),))</f>
        <v>6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206">
        <f>LOOKUP(SMALL(W3:W33,1),W3:W33,W3:W33)</f>
        <v>5</v>
      </c>
      <c r="AA4" s="210">
        <f t="shared" ref="AA4:AA9" si="6">IF($Z4="","",SUMIFS($K$3:$K$31,$W$3:$W$31,$Z4,$A$3:$A$31,"&lt;&gt;Zaterdag",$A$3:$A$31,"&lt;&gt;Zondag"))</f>
        <v>0</v>
      </c>
      <c r="AB4" s="210">
        <f t="shared" ref="AB4:AB9" si="7">IF($Z4="","",SUMIFS($K$3:$K$31,$W$3:$W$31,$Z4,$A$3:$A$31,"&lt;&gt;Zaterdag",$A$3:$A$31,"&lt;&gt;Zondag")+SUMIFS($I$3:$I$31,$W$3:$W$31,$Z4,$A$3:$A$31,"&lt;&gt;Zaterdag",$A$3:$A$31,"&lt;&gt;Zondag"))</f>
        <v>0</v>
      </c>
      <c r="AC4" s="167">
        <f t="shared" ref="AC4:AC9" si="8">IF($Z4="","",SUMIFS($M$3:$M$31,$W$3:$W$31,$Z4,$A$3:$A$31,"&lt;&gt;Zaterdag",$A$3:$A$31,"&lt;&gt;Zondag"))</f>
        <v>0</v>
      </c>
      <c r="AD4" s="237">
        <f t="shared" ref="AD4:AD9" si="9">IF($Z4="","",SUMIFS($K$3:$K$31,$W$3:$W$31,$Z4,$A$3:$A$31,"&lt;&gt;Zaterdag",$A$3:$A$31,"&lt;&gt;Zondag")+SUMIFS($I$3:$I$31,$W$3:$W$31,$Z4,$A$3:$A$31,"&lt;&gt;Zaterdag",$A$3:$A$31,"&lt;&gt;Zondag",$H$3:$H$31,"=ADV")+SUMIFS($I$3:$I$31,$W$3:$W$31,$Z4,$A$3:$A$31,"&lt;&gt;Zaterdag",$A$3:$A$31,"&lt;&gt;Zondag",$H$3:$H$31,"=BF")+SUMIFS($I$3:$I$31,$W$3:$W$31,$Z4,$A$3:$A$31,"&lt;&gt;Zaterdag",$A$3:$A$31,"&lt;&gt;Zondag",$H$3:$H$31,"=BIR")+SUMIFS($I$3:$I$31,$W$3:$W$31,$Z4,$A$3:$A$31,"&lt;&gt;Zaterdag",$A$3:$A$31,"&lt;&gt;Zondag",$H$3:$H$31,"=OPL"))</f>
        <v>0</v>
      </c>
      <c r="AE4" s="4">
        <f t="shared" ref="AE4:AE30" si="10">IF(L4="",0,IF(L4&gt;=5,1,0))</f>
        <v>0</v>
      </c>
    </row>
    <row r="5" spans="1:31" x14ac:dyDescent="0.25">
      <c r="A5" s="100" t="str">
        <f t="shared" si="2"/>
        <v>Dinsdag</v>
      </c>
      <c r="B5" s="226">
        <f t="shared" si="3"/>
        <v>46056</v>
      </c>
      <c r="C5" s="224"/>
      <c r="D5" s="149"/>
      <c r="E5" s="149"/>
      <c r="F5" s="156"/>
      <c r="G5" s="149"/>
      <c r="H5" s="79"/>
      <c r="I5" s="149"/>
      <c r="J5" s="188" t="str">
        <f t="shared" si="4"/>
        <v/>
      </c>
      <c r="K5" s="150">
        <f>IF(Basisgegevens!$F$1="JA",IF(D5="",0,(1-D5)+(E5)-G5),(E5-D5)-G5)</f>
        <v>0</v>
      </c>
      <c r="L5" s="44" t="str">
        <f t="shared" si="0"/>
        <v/>
      </c>
      <c r="M5" s="150">
        <f t="shared" ref="M5:M30" si="11">IF(C5="",0,(D5-C5)+(F5-E5))</f>
        <v>0</v>
      </c>
      <c r="N5" s="44" t="str">
        <f t="shared" si="1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6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IF(W$31=Z4,"",Z4+1)</f>
        <v>6</v>
      </c>
      <c r="AA5" s="211">
        <f t="shared" si="6"/>
        <v>0</v>
      </c>
      <c r="AB5" s="211">
        <f t="shared" si="7"/>
        <v>0</v>
      </c>
      <c r="AC5" s="168">
        <f t="shared" si="8"/>
        <v>0</v>
      </c>
      <c r="AD5" s="237">
        <f t="shared" si="9"/>
        <v>0</v>
      </c>
      <c r="AE5" s="4">
        <f t="shared" si="10"/>
        <v>0</v>
      </c>
    </row>
    <row r="6" spans="1:31" x14ac:dyDescent="0.25">
      <c r="A6" s="100" t="str">
        <f t="shared" si="2"/>
        <v>Woensdag</v>
      </c>
      <c r="B6" s="226">
        <f t="shared" si="3"/>
        <v>46057</v>
      </c>
      <c r="C6" s="224"/>
      <c r="D6" s="149"/>
      <c r="E6" s="149"/>
      <c r="F6" s="156"/>
      <c r="G6" s="149"/>
      <c r="H6" s="79"/>
      <c r="I6" s="149"/>
      <c r="J6" s="188" t="str">
        <f t="shared" si="4"/>
        <v/>
      </c>
      <c r="K6" s="150">
        <f>IF(Basisgegevens!$F$1="JA",IF(D6="",0,(1-D6)+(E6)-G6),(E6-D6)-G6)</f>
        <v>0</v>
      </c>
      <c r="L6" s="44" t="str">
        <f t="shared" si="0"/>
        <v/>
      </c>
      <c r="M6" s="150">
        <f t="shared" si="11"/>
        <v>0</v>
      </c>
      <c r="N6" s="44" t="str">
        <f t="shared" si="1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6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>IF(W$31=Z5,"",Z5+1)</f>
        <v>7</v>
      </c>
      <c r="AA6" s="211">
        <f t="shared" si="6"/>
        <v>0</v>
      </c>
      <c r="AB6" s="211">
        <f t="shared" si="7"/>
        <v>0</v>
      </c>
      <c r="AC6" s="168">
        <f t="shared" si="8"/>
        <v>0</v>
      </c>
      <c r="AD6" s="237">
        <f t="shared" si="9"/>
        <v>0</v>
      </c>
      <c r="AE6" s="4">
        <f t="shared" si="10"/>
        <v>0</v>
      </c>
    </row>
    <row r="7" spans="1:31" x14ac:dyDescent="0.25">
      <c r="A7" s="100" t="str">
        <f t="shared" si="2"/>
        <v>Donderdag</v>
      </c>
      <c r="B7" s="226">
        <f t="shared" si="3"/>
        <v>46058</v>
      </c>
      <c r="C7" s="224"/>
      <c r="D7" s="149"/>
      <c r="E7" s="149"/>
      <c r="F7" s="156"/>
      <c r="G7" s="149"/>
      <c r="H7" s="79"/>
      <c r="I7" s="149"/>
      <c r="J7" s="188" t="str">
        <f t="shared" si="4"/>
        <v/>
      </c>
      <c r="K7" s="150">
        <f>IF(Basisgegevens!$F$1="JA",IF(D7="",0,(1-D7)+(E7)-G7),(E7-D7)-G7)</f>
        <v>0</v>
      </c>
      <c r="L7" s="44" t="str">
        <f t="shared" si="0"/>
        <v/>
      </c>
      <c r="M7" s="150">
        <f t="shared" si="11"/>
        <v>0</v>
      </c>
      <c r="N7" s="44" t="str">
        <f t="shared" si="1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6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>IF(W$31=Z6,"",Z6+1)</f>
        <v>8</v>
      </c>
      <c r="AA7" s="211">
        <f t="shared" si="6"/>
        <v>0</v>
      </c>
      <c r="AB7" s="211">
        <f t="shared" si="7"/>
        <v>0</v>
      </c>
      <c r="AC7" s="168">
        <f t="shared" si="8"/>
        <v>0</v>
      </c>
      <c r="AD7" s="237">
        <f t="shared" si="9"/>
        <v>0</v>
      </c>
      <c r="AE7" s="4">
        <f t="shared" si="10"/>
        <v>0</v>
      </c>
    </row>
    <row r="8" spans="1:31" x14ac:dyDescent="0.25">
      <c r="A8" s="100" t="str">
        <f t="shared" si="2"/>
        <v>Vrijdag</v>
      </c>
      <c r="B8" s="226">
        <f t="shared" si="3"/>
        <v>46059</v>
      </c>
      <c r="C8" s="224"/>
      <c r="D8" s="149"/>
      <c r="E8" s="149"/>
      <c r="F8" s="156"/>
      <c r="G8" s="149"/>
      <c r="H8" s="79"/>
      <c r="I8" s="149"/>
      <c r="J8" s="188" t="str">
        <f t="shared" si="4"/>
        <v/>
      </c>
      <c r="K8" s="150">
        <f>IF(Basisgegevens!$F$1="JA",IF(D8="",0,(1-D8)+(E8)-G8),(E8-D8)-G8)</f>
        <v>0</v>
      </c>
      <c r="L8" s="44" t="str">
        <f t="shared" si="0"/>
        <v/>
      </c>
      <c r="M8" s="150">
        <f t="shared" si="11"/>
        <v>0</v>
      </c>
      <c r="N8" s="44" t="str">
        <f t="shared" si="1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6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>IF(W$31=Z7,"",Z7+1)</f>
        <v>9</v>
      </c>
      <c r="AA8" s="211">
        <f t="shared" si="6"/>
        <v>0</v>
      </c>
      <c r="AB8" s="211">
        <f t="shared" si="7"/>
        <v>0</v>
      </c>
      <c r="AC8" s="168">
        <f t="shared" si="8"/>
        <v>0</v>
      </c>
      <c r="AD8" s="237">
        <f t="shared" si="9"/>
        <v>0</v>
      </c>
      <c r="AE8" s="4">
        <f t="shared" si="10"/>
        <v>0</v>
      </c>
    </row>
    <row r="9" spans="1:31" ht="16.5" thickBot="1" x14ac:dyDescent="0.3">
      <c r="A9" s="100" t="str">
        <f t="shared" si="2"/>
        <v>Zaterdag</v>
      </c>
      <c r="B9" s="226">
        <f t="shared" si="3"/>
        <v>46060</v>
      </c>
      <c r="C9" s="224"/>
      <c r="D9" s="149"/>
      <c r="E9" s="149"/>
      <c r="F9" s="156"/>
      <c r="G9" s="149"/>
      <c r="H9" s="79"/>
      <c r="I9" s="149"/>
      <c r="J9" s="188" t="str">
        <f t="shared" si="4"/>
        <v/>
      </c>
      <c r="K9" s="150">
        <f>IF(Basisgegevens!$F$1="JA",IF(D9="",0,(1-D9)+(E9)-G9),(E9-D9)-G9)</f>
        <v>0</v>
      </c>
      <c r="L9" s="44" t="str">
        <f t="shared" si="0"/>
        <v/>
      </c>
      <c r="M9" s="150">
        <f t="shared" si="11"/>
        <v>0</v>
      </c>
      <c r="N9" s="44" t="str">
        <f t="shared" si="1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6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>
        <f>IF(W$31=Z8,"",Z8+1)</f>
        <v>10</v>
      </c>
      <c r="AA9" s="212">
        <f t="shared" si="6"/>
        <v>0</v>
      </c>
      <c r="AB9" s="212">
        <f t="shared" si="7"/>
        <v>0</v>
      </c>
      <c r="AC9" s="64">
        <f t="shared" si="8"/>
        <v>0</v>
      </c>
      <c r="AD9" s="239">
        <f t="shared" si="9"/>
        <v>0</v>
      </c>
      <c r="AE9" s="4">
        <f t="shared" si="10"/>
        <v>0</v>
      </c>
    </row>
    <row r="10" spans="1:31" ht="16.5" thickBot="1" x14ac:dyDescent="0.3">
      <c r="A10" s="100" t="str">
        <f t="shared" si="2"/>
        <v>Zondag</v>
      </c>
      <c r="B10" s="226">
        <f t="shared" si="3"/>
        <v>46061</v>
      </c>
      <c r="C10" s="224"/>
      <c r="D10" s="149"/>
      <c r="E10" s="149"/>
      <c r="F10" s="156"/>
      <c r="G10" s="149"/>
      <c r="H10" s="79"/>
      <c r="I10" s="149"/>
      <c r="J10" s="188" t="str">
        <f t="shared" si="4"/>
        <v/>
      </c>
      <c r="K10" s="150">
        <f>IF(Basisgegevens!$F$1="JA",IF(D10="",0,(1-D10)+(E10)-G10),(E10-D10)-G10)</f>
        <v>0</v>
      </c>
      <c r="L10" s="44" t="str">
        <f t="shared" si="0"/>
        <v/>
      </c>
      <c r="M10" s="150">
        <f t="shared" si="11"/>
        <v>0</v>
      </c>
      <c r="N10" s="44" t="str">
        <f t="shared" si="1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6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10"/>
        <v>0</v>
      </c>
    </row>
    <row r="11" spans="1:31" ht="16.5" thickBot="1" x14ac:dyDescent="0.3">
      <c r="A11" s="100" t="str">
        <f t="shared" si="2"/>
        <v>Maandag</v>
      </c>
      <c r="B11" s="226">
        <f t="shared" si="3"/>
        <v>46062</v>
      </c>
      <c r="C11" s="224"/>
      <c r="D11" s="149"/>
      <c r="E11" s="149"/>
      <c r="F11" s="156"/>
      <c r="G11" s="149"/>
      <c r="H11" s="79"/>
      <c r="I11" s="149"/>
      <c r="J11" s="188" t="str">
        <f t="shared" si="4"/>
        <v/>
      </c>
      <c r="K11" s="150">
        <f>IF(Basisgegevens!$F$1="JA",IF(D11="",0,(1-D11)+(E11)-G11),(E11-D11)-G11)</f>
        <v>0</v>
      </c>
      <c r="L11" s="44" t="str">
        <f t="shared" si="0"/>
        <v/>
      </c>
      <c r="M11" s="150">
        <f t="shared" si="11"/>
        <v>0</v>
      </c>
      <c r="N11" s="44" t="str">
        <f t="shared" si="1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7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10"/>
        <v>0</v>
      </c>
    </row>
    <row r="12" spans="1:31" x14ac:dyDescent="0.25">
      <c r="A12" s="100" t="str">
        <f t="shared" si="2"/>
        <v>Dinsdag</v>
      </c>
      <c r="B12" s="226">
        <f t="shared" si="3"/>
        <v>46063</v>
      </c>
      <c r="C12" s="224"/>
      <c r="D12" s="149"/>
      <c r="E12" s="149"/>
      <c r="F12" s="156"/>
      <c r="G12" s="149"/>
      <c r="H12" s="79"/>
      <c r="I12" s="149"/>
      <c r="J12" s="188" t="str">
        <f t="shared" si="4"/>
        <v/>
      </c>
      <c r="K12" s="150">
        <f>IF(Basisgegevens!$F$1="JA",IF(D12="",0,(1-D12)+(E12)-G12),(E12-D12)-G12)</f>
        <v>0</v>
      </c>
      <c r="L12" s="44" t="str">
        <f t="shared" si="0"/>
        <v/>
      </c>
      <c r="M12" s="150">
        <f t="shared" si="11"/>
        <v>0</v>
      </c>
      <c r="N12" s="44" t="str">
        <f t="shared" si="1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7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2">Z4</f>
        <v>5</v>
      </c>
      <c r="AA12" s="207">
        <f t="shared" ref="AA12:AC17" si="13">IF(AA4="","",AA4*24)</f>
        <v>0</v>
      </c>
      <c r="AB12" s="207">
        <f t="shared" si="13"/>
        <v>0</v>
      </c>
      <c r="AC12" s="203">
        <f t="shared" si="13"/>
        <v>0</v>
      </c>
      <c r="AE12" s="4">
        <f t="shared" si="10"/>
        <v>0</v>
      </c>
    </row>
    <row r="13" spans="1:31" x14ac:dyDescent="0.25">
      <c r="A13" s="100" t="str">
        <f t="shared" si="2"/>
        <v>Woensdag</v>
      </c>
      <c r="B13" s="226">
        <f t="shared" si="3"/>
        <v>46064</v>
      </c>
      <c r="C13" s="224"/>
      <c r="D13" s="149"/>
      <c r="E13" s="149"/>
      <c r="F13" s="156"/>
      <c r="G13" s="149"/>
      <c r="H13" s="79"/>
      <c r="I13" s="149"/>
      <c r="J13" s="188" t="str">
        <f t="shared" si="4"/>
        <v/>
      </c>
      <c r="K13" s="150">
        <f>IF(Basisgegevens!$F$1="JA",IF(D13="",0,(1-D13)+(E13)-G13),(E13-D13)-G13)</f>
        <v>0</v>
      </c>
      <c r="L13" s="44" t="str">
        <f t="shared" si="0"/>
        <v/>
      </c>
      <c r="M13" s="150">
        <f t="shared" si="11"/>
        <v>0</v>
      </c>
      <c r="N13" s="44" t="str">
        <f t="shared" si="1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7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2"/>
        <v>6</v>
      </c>
      <c r="AA13" s="208">
        <f t="shared" si="13"/>
        <v>0</v>
      </c>
      <c r="AB13" s="208">
        <f t="shared" si="13"/>
        <v>0</v>
      </c>
      <c r="AC13" s="204">
        <f t="shared" si="13"/>
        <v>0</v>
      </c>
      <c r="AE13" s="4">
        <f t="shared" si="10"/>
        <v>0</v>
      </c>
    </row>
    <row r="14" spans="1:31" x14ac:dyDescent="0.25">
      <c r="A14" s="100" t="str">
        <f t="shared" si="2"/>
        <v>Donderdag</v>
      </c>
      <c r="B14" s="226">
        <f t="shared" si="3"/>
        <v>46065</v>
      </c>
      <c r="C14" s="224"/>
      <c r="D14" s="149"/>
      <c r="E14" s="149"/>
      <c r="F14" s="156"/>
      <c r="G14" s="149"/>
      <c r="H14" s="79"/>
      <c r="I14" s="149"/>
      <c r="J14" s="188" t="str">
        <f t="shared" si="4"/>
        <v/>
      </c>
      <c r="K14" s="150">
        <f>IF(Basisgegevens!$F$1="JA",IF(D14="",0,(1-D14)+(E14)-G14),(E14-D14)-G14)</f>
        <v>0</v>
      </c>
      <c r="L14" s="44" t="str">
        <f t="shared" si="0"/>
        <v/>
      </c>
      <c r="M14" s="150">
        <f t="shared" si="11"/>
        <v>0</v>
      </c>
      <c r="N14" s="44" t="str">
        <f t="shared" si="1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7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2"/>
        <v>7</v>
      </c>
      <c r="AA14" s="208">
        <f t="shared" si="13"/>
        <v>0</v>
      </c>
      <c r="AB14" s="208">
        <f t="shared" si="13"/>
        <v>0</v>
      </c>
      <c r="AC14" s="204">
        <f t="shared" si="13"/>
        <v>0</v>
      </c>
      <c r="AE14" s="4">
        <f t="shared" si="10"/>
        <v>0</v>
      </c>
    </row>
    <row r="15" spans="1:31" x14ac:dyDescent="0.25">
      <c r="A15" s="100" t="str">
        <f t="shared" si="2"/>
        <v>Vrijdag</v>
      </c>
      <c r="B15" s="226">
        <f t="shared" si="3"/>
        <v>46066</v>
      </c>
      <c r="C15" s="224"/>
      <c r="D15" s="149"/>
      <c r="E15" s="149"/>
      <c r="F15" s="156"/>
      <c r="G15" s="149"/>
      <c r="H15" s="79"/>
      <c r="I15" s="149"/>
      <c r="J15" s="188" t="str">
        <f t="shared" si="4"/>
        <v/>
      </c>
      <c r="K15" s="150">
        <f>IF(Basisgegevens!$F$1="JA",IF(D15="",0,(1-D15)+(E15)-G15),(E15-D15)-G15)</f>
        <v>0</v>
      </c>
      <c r="L15" s="44" t="str">
        <f t="shared" si="0"/>
        <v/>
      </c>
      <c r="M15" s="150">
        <f t="shared" si="11"/>
        <v>0</v>
      </c>
      <c r="N15" s="44" t="str">
        <f t="shared" si="1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7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2"/>
        <v>8</v>
      </c>
      <c r="AA15" s="208">
        <f t="shared" si="13"/>
        <v>0</v>
      </c>
      <c r="AB15" s="208">
        <f t="shared" si="13"/>
        <v>0</v>
      </c>
      <c r="AC15" s="204">
        <f t="shared" si="13"/>
        <v>0</v>
      </c>
      <c r="AE15" s="4">
        <f t="shared" si="10"/>
        <v>0</v>
      </c>
    </row>
    <row r="16" spans="1:31" x14ac:dyDescent="0.25">
      <c r="A16" s="100" t="str">
        <f t="shared" si="2"/>
        <v>Zaterdag</v>
      </c>
      <c r="B16" s="226">
        <f t="shared" si="3"/>
        <v>46067</v>
      </c>
      <c r="C16" s="224"/>
      <c r="D16" s="149"/>
      <c r="E16" s="149"/>
      <c r="F16" s="156"/>
      <c r="G16" s="149"/>
      <c r="H16" s="79"/>
      <c r="I16" s="149"/>
      <c r="J16" s="188" t="str">
        <f t="shared" si="4"/>
        <v/>
      </c>
      <c r="K16" s="150">
        <f>IF(Basisgegevens!$F$1="JA",IF(D16="",0,(1-D16)+(E16)-G16),(E16-D16)-G16)</f>
        <v>0</v>
      </c>
      <c r="L16" s="44" t="str">
        <f t="shared" si="0"/>
        <v/>
      </c>
      <c r="M16" s="150">
        <f t="shared" si="11"/>
        <v>0</v>
      </c>
      <c r="N16" s="44" t="str">
        <f t="shared" si="1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7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2"/>
        <v>9</v>
      </c>
      <c r="AA16" s="208">
        <f t="shared" si="13"/>
        <v>0</v>
      </c>
      <c r="AB16" s="208">
        <f t="shared" si="13"/>
        <v>0</v>
      </c>
      <c r="AC16" s="204">
        <f t="shared" si="13"/>
        <v>0</v>
      </c>
      <c r="AE16" s="4">
        <f t="shared" si="10"/>
        <v>0</v>
      </c>
    </row>
    <row r="17" spans="1:31" ht="16.5" thickBot="1" x14ac:dyDescent="0.3">
      <c r="A17" s="100" t="str">
        <f t="shared" si="2"/>
        <v>Zondag</v>
      </c>
      <c r="B17" s="226">
        <f t="shared" si="3"/>
        <v>46068</v>
      </c>
      <c r="C17" s="224"/>
      <c r="D17" s="149"/>
      <c r="E17" s="149"/>
      <c r="F17" s="156"/>
      <c r="G17" s="149"/>
      <c r="H17" s="79"/>
      <c r="I17" s="149"/>
      <c r="J17" s="188" t="str">
        <f t="shared" si="4"/>
        <v/>
      </c>
      <c r="K17" s="150">
        <f>IF(Basisgegevens!$F$1="JA",IF(D17="",0,(1-D17)+(E17)-G17),(E17-D17)-G17)</f>
        <v>0</v>
      </c>
      <c r="L17" s="44" t="str">
        <f t="shared" si="0"/>
        <v/>
      </c>
      <c r="M17" s="150">
        <f t="shared" si="11"/>
        <v>0</v>
      </c>
      <c r="N17" s="44" t="str">
        <f t="shared" si="1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7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>
        <f t="shared" si="12"/>
        <v>10</v>
      </c>
      <c r="AA17" s="209">
        <f t="shared" si="13"/>
        <v>0</v>
      </c>
      <c r="AB17" s="209">
        <f t="shared" si="13"/>
        <v>0</v>
      </c>
      <c r="AC17" s="205">
        <f t="shared" si="13"/>
        <v>0</v>
      </c>
      <c r="AE17" s="4">
        <f t="shared" si="10"/>
        <v>0</v>
      </c>
    </row>
    <row r="18" spans="1:31" x14ac:dyDescent="0.25">
      <c r="A18" s="100" t="str">
        <f t="shared" si="2"/>
        <v>Maandag</v>
      </c>
      <c r="B18" s="226">
        <f t="shared" si="3"/>
        <v>46069</v>
      </c>
      <c r="C18" s="224"/>
      <c r="D18" s="149"/>
      <c r="E18" s="149"/>
      <c r="F18" s="156"/>
      <c r="G18" s="149"/>
      <c r="H18" s="79"/>
      <c r="I18" s="149"/>
      <c r="J18" s="188" t="str">
        <f t="shared" si="4"/>
        <v/>
      </c>
      <c r="K18" s="150">
        <f>IF(Basisgegevens!$F$1="JA",IF(D18="",0,(1-D18)+(E18)-G18),(E18-D18)-G18)</f>
        <v>0</v>
      </c>
      <c r="L18" s="44" t="str">
        <f t="shared" si="0"/>
        <v/>
      </c>
      <c r="M18" s="150">
        <f t="shared" si="11"/>
        <v>0</v>
      </c>
      <c r="N18" s="44" t="str">
        <f t="shared" si="1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8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10"/>
        <v>0</v>
      </c>
    </row>
    <row r="19" spans="1:31" x14ac:dyDescent="0.25">
      <c r="A19" s="100" t="str">
        <f t="shared" si="2"/>
        <v>Dinsdag</v>
      </c>
      <c r="B19" s="226">
        <f t="shared" si="3"/>
        <v>46070</v>
      </c>
      <c r="C19" s="224"/>
      <c r="D19" s="149"/>
      <c r="E19" s="149"/>
      <c r="F19" s="156"/>
      <c r="G19" s="149"/>
      <c r="H19" s="79"/>
      <c r="I19" s="149"/>
      <c r="J19" s="188" t="str">
        <f t="shared" si="4"/>
        <v/>
      </c>
      <c r="K19" s="150">
        <f>IF(Basisgegevens!$F$1="JA",IF(D19="",0,(1-D19)+(E19)-G19),(E19-D19)-G19)</f>
        <v>0</v>
      </c>
      <c r="L19" s="44" t="str">
        <f t="shared" si="0"/>
        <v/>
      </c>
      <c r="M19" s="150">
        <f t="shared" si="11"/>
        <v>0</v>
      </c>
      <c r="N19" s="44" t="str">
        <f t="shared" si="1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8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10"/>
        <v>0</v>
      </c>
    </row>
    <row r="20" spans="1:31" x14ac:dyDescent="0.25">
      <c r="A20" s="100" t="str">
        <f t="shared" si="2"/>
        <v>Woensdag</v>
      </c>
      <c r="B20" s="226">
        <f t="shared" si="3"/>
        <v>46071</v>
      </c>
      <c r="C20" s="224"/>
      <c r="D20" s="149"/>
      <c r="E20" s="149"/>
      <c r="F20" s="156"/>
      <c r="G20" s="149"/>
      <c r="H20" s="79"/>
      <c r="I20" s="149"/>
      <c r="J20" s="188" t="str">
        <f t="shared" si="4"/>
        <v/>
      </c>
      <c r="K20" s="150">
        <f>IF(Basisgegevens!$F$1="JA",IF(D20="",0,(1-D20)+(E20)-G20),(E20-D20)-G20)</f>
        <v>0</v>
      </c>
      <c r="L20" s="44" t="str">
        <f t="shared" si="0"/>
        <v/>
      </c>
      <c r="M20" s="150">
        <f t="shared" si="11"/>
        <v>0</v>
      </c>
      <c r="N20" s="44" t="str">
        <f t="shared" si="1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8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10"/>
        <v>0</v>
      </c>
    </row>
    <row r="21" spans="1:31" x14ac:dyDescent="0.25">
      <c r="A21" s="100" t="str">
        <f t="shared" si="2"/>
        <v>Donderdag</v>
      </c>
      <c r="B21" s="226">
        <f t="shared" si="3"/>
        <v>46072</v>
      </c>
      <c r="C21" s="224"/>
      <c r="D21" s="149"/>
      <c r="E21" s="149"/>
      <c r="F21" s="156"/>
      <c r="G21" s="149"/>
      <c r="H21" s="79"/>
      <c r="I21" s="149"/>
      <c r="J21" s="188" t="str">
        <f t="shared" si="4"/>
        <v/>
      </c>
      <c r="K21" s="150">
        <f>IF(Basisgegevens!$F$1="JA",IF(D21="",0,(1-D21)+(E21)-G21),(E21-D21)-G21)</f>
        <v>0</v>
      </c>
      <c r="L21" s="44" t="str">
        <f t="shared" si="0"/>
        <v/>
      </c>
      <c r="M21" s="150">
        <f t="shared" si="11"/>
        <v>0</v>
      </c>
      <c r="N21" s="44" t="str">
        <f t="shared" si="1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8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10"/>
        <v>0</v>
      </c>
    </row>
    <row r="22" spans="1:31" x14ac:dyDescent="0.25">
      <c r="A22" s="100" t="str">
        <f t="shared" si="2"/>
        <v>Vrijdag</v>
      </c>
      <c r="B22" s="226">
        <f t="shared" si="3"/>
        <v>46073</v>
      </c>
      <c r="C22" s="224"/>
      <c r="D22" s="149"/>
      <c r="E22" s="149"/>
      <c r="F22" s="156"/>
      <c r="G22" s="149"/>
      <c r="H22" s="79"/>
      <c r="I22" s="149"/>
      <c r="J22" s="188" t="str">
        <f t="shared" si="4"/>
        <v/>
      </c>
      <c r="K22" s="150">
        <f>IF(Basisgegevens!$F$1="JA",IF(D22="",0,(1-D22)+(E22)-G22),(E22-D22)-G22)</f>
        <v>0</v>
      </c>
      <c r="L22" s="44" t="str">
        <f t="shared" si="0"/>
        <v/>
      </c>
      <c r="M22" s="150">
        <f t="shared" si="11"/>
        <v>0</v>
      </c>
      <c r="N22" s="44" t="str">
        <f t="shared" si="1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8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10"/>
        <v>0</v>
      </c>
    </row>
    <row r="23" spans="1:31" x14ac:dyDescent="0.25">
      <c r="A23" s="100" t="str">
        <f t="shared" si="2"/>
        <v>Zaterdag</v>
      </c>
      <c r="B23" s="226">
        <f t="shared" si="3"/>
        <v>46074</v>
      </c>
      <c r="C23" s="224"/>
      <c r="D23" s="149"/>
      <c r="E23" s="149"/>
      <c r="F23" s="156"/>
      <c r="G23" s="149"/>
      <c r="H23" s="79"/>
      <c r="I23" s="149"/>
      <c r="J23" s="188" t="str">
        <f t="shared" si="4"/>
        <v/>
      </c>
      <c r="K23" s="150">
        <f>IF(Basisgegevens!$F$1="JA",IF(D23="",0,(1-D23)+(E23)-G23),(E23-D23)-G23)</f>
        <v>0</v>
      </c>
      <c r="L23" s="44" t="str">
        <f t="shared" si="0"/>
        <v/>
      </c>
      <c r="M23" s="150">
        <f t="shared" si="11"/>
        <v>0</v>
      </c>
      <c r="N23" s="44" t="str">
        <f t="shared" si="1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8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10"/>
        <v>0</v>
      </c>
    </row>
    <row r="24" spans="1:31" x14ac:dyDescent="0.25">
      <c r="A24" s="100" t="str">
        <f t="shared" si="2"/>
        <v>Zondag</v>
      </c>
      <c r="B24" s="226">
        <f t="shared" si="3"/>
        <v>46075</v>
      </c>
      <c r="C24" s="224"/>
      <c r="D24" s="149"/>
      <c r="E24" s="149"/>
      <c r="F24" s="156"/>
      <c r="G24" s="149"/>
      <c r="H24" s="79"/>
      <c r="I24" s="149"/>
      <c r="J24" s="188" t="str">
        <f t="shared" si="4"/>
        <v/>
      </c>
      <c r="K24" s="150">
        <f>IF(Basisgegevens!$F$1="JA",IF(D24="",0,(1-D24)+(E24)-G24),(E24-D24)-G24)</f>
        <v>0</v>
      </c>
      <c r="L24" s="44" t="str">
        <f t="shared" si="0"/>
        <v/>
      </c>
      <c r="M24" s="150">
        <f t="shared" si="11"/>
        <v>0</v>
      </c>
      <c r="N24" s="44" t="str">
        <f t="shared" si="1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8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10"/>
        <v>0</v>
      </c>
    </row>
    <row r="25" spans="1:31" x14ac:dyDescent="0.25">
      <c r="A25" s="100" t="str">
        <f t="shared" si="2"/>
        <v>Maandag</v>
      </c>
      <c r="B25" s="226">
        <f t="shared" si="3"/>
        <v>46076</v>
      </c>
      <c r="C25" s="224"/>
      <c r="D25" s="149"/>
      <c r="E25" s="149"/>
      <c r="F25" s="156"/>
      <c r="G25" s="149"/>
      <c r="H25" s="79"/>
      <c r="I25" s="149"/>
      <c r="J25" s="188" t="str">
        <f t="shared" si="4"/>
        <v/>
      </c>
      <c r="K25" s="150">
        <f>IF(Basisgegevens!$F$1="JA",IF(D25="",0,(1-D25)+(E25)-G25),(E25-D25)-G25)</f>
        <v>0</v>
      </c>
      <c r="L25" s="44" t="str">
        <f t="shared" si="0"/>
        <v/>
      </c>
      <c r="M25" s="150">
        <f t="shared" si="11"/>
        <v>0</v>
      </c>
      <c r="N25" s="44" t="str">
        <f t="shared" si="1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9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10"/>
        <v>0</v>
      </c>
    </row>
    <row r="26" spans="1:31" x14ac:dyDescent="0.25">
      <c r="A26" s="100" t="str">
        <f t="shared" si="2"/>
        <v>Dinsdag</v>
      </c>
      <c r="B26" s="226">
        <f t="shared" si="3"/>
        <v>46077</v>
      </c>
      <c r="C26" s="224"/>
      <c r="D26" s="149"/>
      <c r="E26" s="149"/>
      <c r="F26" s="156"/>
      <c r="G26" s="149"/>
      <c r="H26" s="79"/>
      <c r="I26" s="149"/>
      <c r="J26" s="188" t="str">
        <f t="shared" si="4"/>
        <v/>
      </c>
      <c r="K26" s="150">
        <f>IF(Basisgegevens!$F$1="JA",IF(D26="",0,(1-D26)+(E26)-G26),(E26-D26)-G26)</f>
        <v>0</v>
      </c>
      <c r="L26" s="44" t="str">
        <f t="shared" si="0"/>
        <v/>
      </c>
      <c r="M26" s="150">
        <f t="shared" si="11"/>
        <v>0</v>
      </c>
      <c r="N26" s="44" t="str">
        <f t="shared" si="1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9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10"/>
        <v>0</v>
      </c>
    </row>
    <row r="27" spans="1:31" x14ac:dyDescent="0.25">
      <c r="A27" s="100" t="str">
        <f t="shared" si="2"/>
        <v>Woensdag</v>
      </c>
      <c r="B27" s="226">
        <f t="shared" si="3"/>
        <v>46078</v>
      </c>
      <c r="C27" s="224"/>
      <c r="D27" s="149"/>
      <c r="E27" s="149"/>
      <c r="F27" s="156"/>
      <c r="G27" s="149"/>
      <c r="H27" s="79"/>
      <c r="I27" s="149"/>
      <c r="J27" s="188" t="str">
        <f t="shared" si="4"/>
        <v/>
      </c>
      <c r="K27" s="150">
        <f>IF(Basisgegevens!$F$1="JA",IF(D27="",0,(1-D27)+(E27)-G27),(E27-D27)-G27)</f>
        <v>0</v>
      </c>
      <c r="L27" s="44" t="str">
        <f t="shared" si="0"/>
        <v/>
      </c>
      <c r="M27" s="150">
        <f t="shared" si="11"/>
        <v>0</v>
      </c>
      <c r="N27" s="44" t="str">
        <f t="shared" si="1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9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10"/>
        <v>0</v>
      </c>
    </row>
    <row r="28" spans="1:31" x14ac:dyDescent="0.25">
      <c r="A28" s="100" t="str">
        <f t="shared" si="2"/>
        <v>Donderdag</v>
      </c>
      <c r="B28" s="226">
        <f t="shared" si="3"/>
        <v>46079</v>
      </c>
      <c r="C28" s="224"/>
      <c r="D28" s="149"/>
      <c r="E28" s="149"/>
      <c r="F28" s="156"/>
      <c r="G28" s="149"/>
      <c r="H28" s="79"/>
      <c r="I28" s="149"/>
      <c r="J28" s="188" t="str">
        <f t="shared" si="4"/>
        <v/>
      </c>
      <c r="K28" s="150">
        <f>IF(Basisgegevens!$F$1="JA",IF(D28="",0,(1-D28)+(E28)-G28),(E28-D28)-G28)</f>
        <v>0</v>
      </c>
      <c r="L28" s="44" t="str">
        <f t="shared" si="0"/>
        <v/>
      </c>
      <c r="M28" s="150">
        <f t="shared" si="11"/>
        <v>0</v>
      </c>
      <c r="N28" s="44" t="str">
        <f t="shared" si="1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9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10"/>
        <v>0</v>
      </c>
    </row>
    <row r="29" spans="1:31" x14ac:dyDescent="0.25">
      <c r="A29" s="100" t="str">
        <f t="shared" si="2"/>
        <v>Vrijdag</v>
      </c>
      <c r="B29" s="226">
        <f t="shared" si="3"/>
        <v>46080</v>
      </c>
      <c r="C29" s="224"/>
      <c r="D29" s="149"/>
      <c r="E29" s="149"/>
      <c r="F29" s="156"/>
      <c r="G29" s="149"/>
      <c r="H29" s="79"/>
      <c r="I29" s="149"/>
      <c r="J29" s="188" t="str">
        <f t="shared" si="4"/>
        <v/>
      </c>
      <c r="K29" s="150">
        <f>IF(Basisgegevens!$F$1="JA",IF(D29="",0,(1-D29)+(E29)-G29),(E29-D29)-G29)</f>
        <v>0</v>
      </c>
      <c r="L29" s="44" t="str">
        <f t="shared" si="0"/>
        <v/>
      </c>
      <c r="M29" s="150">
        <f t="shared" si="11"/>
        <v>0</v>
      </c>
      <c r="N29" s="44" t="str">
        <f t="shared" si="1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9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10"/>
        <v>0</v>
      </c>
    </row>
    <row r="30" spans="1:31" x14ac:dyDescent="0.25">
      <c r="A30" s="100" t="str">
        <f>IF(WEEKDAY(B30)=1,"Zondag",IF(WEEKDAY(B30)=2,"Maandag",IF(WEEKDAY(B30)=3,"Dinsdag",IF(WEEKDAY(B30)=4,"Woensdag",IF(WEEKDAY(B30)=5,"Donderdag",IF(WEEKDAY(B30)=6,"Vrijdag","Zaterdag"))))))</f>
        <v>Zaterdag</v>
      </c>
      <c r="B30" s="226">
        <f>B29+1</f>
        <v>46081</v>
      </c>
      <c r="C30" s="224"/>
      <c r="D30" s="149"/>
      <c r="E30" s="149"/>
      <c r="F30" s="156"/>
      <c r="G30" s="149"/>
      <c r="H30" s="79"/>
      <c r="I30" s="149"/>
      <c r="J30" s="188" t="str">
        <f t="shared" si="4"/>
        <v/>
      </c>
      <c r="K30" s="150">
        <f>IF(Basisgegevens!$F$1="JA",IF(D30="",0,(1-D30)+(E30)-G30),(E30-D30)-G30)</f>
        <v>0</v>
      </c>
      <c r="L30" s="44" t="str">
        <f t="shared" si="0"/>
        <v/>
      </c>
      <c r="M30" s="150">
        <f t="shared" si="11"/>
        <v>0</v>
      </c>
      <c r="N30" s="44" t="str">
        <f t="shared" si="1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9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10"/>
        <v>0</v>
      </c>
    </row>
    <row r="31" spans="1:31" x14ac:dyDescent="0.25">
      <c r="A31" s="100" t="str">
        <f>IF(B31="","",IF(WEEKDAY(B31)=1,"Zondag",IF(WEEKDAY(B31)=2,"Maandag",IF(WEEKDAY(B31)=3,"Dinsdag",IF(WEEKDAY(B31)=4,"Woensdag",IF(WEEKDAY(B31)=5,"Donderdag",IF(WEEKDAY(B31)=6,"Vrijdag","Zaterdag")))))))</f>
        <v/>
      </c>
      <c r="B31" s="226" t="str">
        <f>IF((MOD(YEAR(Feb!B30),4)=0),Feb!B30+1,"")</f>
        <v/>
      </c>
      <c r="C31" s="225"/>
      <c r="D31" s="149"/>
      <c r="E31" s="149"/>
      <c r="F31" s="149"/>
      <c r="G31" s="149"/>
      <c r="H31" s="79"/>
      <c r="I31" s="149"/>
      <c r="J31" s="188" t="str">
        <f t="shared" si="4"/>
        <v/>
      </c>
      <c r="K31" s="150" t="str">
        <f>IF((MOD(YEAR(Feb!B30),4)=0),IF(Basisgegevens!$F$1="JA",IF(D31="",0,(1-D31)+(E31)-G31),(E31-D31)-G31),"")</f>
        <v/>
      </c>
      <c r="L31" s="44"/>
      <c r="M31" s="150" t="str">
        <f>IF((MOD(YEAR(Feb!B30),4)=0),IF(C31="",0,(D31-C31)+(F31-E31)),"")</f>
        <v/>
      </c>
      <c r="N31" s="44" t="str">
        <f t="shared" si="1"/>
        <v/>
      </c>
      <c r="O31" s="150"/>
      <c r="P31" s="71"/>
      <c r="Q31" s="72"/>
      <c r="R31" s="153"/>
      <c r="S31" s="153"/>
      <c r="T31" s="100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 t="str">
        <f>IF((MOD(YEAR(Feb!B30),4)=0),IF(WEEKDAY(B31)=1,(WEEKNUM(DATE(YEAR(B31),MONTH(B31),DAY(B31)),)-1),WEEKNUM(DATE(YEAR(B31),MONTH(B31),DAY(B31)),)),"")</f>
        <v/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>IF(L31="",0,IF(L31&gt;=5,1,0))</f>
        <v>0</v>
      </c>
    </row>
    <row r="32" spans="1:31" x14ac:dyDescent="0.25">
      <c r="A32" s="2"/>
      <c r="B32" s="8"/>
      <c r="C32" s="8"/>
      <c r="D32" s="5"/>
      <c r="E32" s="5"/>
      <c r="F32" s="5"/>
      <c r="G32" s="5"/>
      <c r="H32" s="8"/>
      <c r="I32" s="5"/>
      <c r="J32" s="188"/>
      <c r="K32" s="82"/>
      <c r="L32" s="94"/>
      <c r="M32" s="150"/>
      <c r="N32" s="44"/>
      <c r="O32" s="82"/>
      <c r="P32" s="95"/>
      <c r="Q32" s="96"/>
      <c r="R32" s="46"/>
      <c r="S32" s="46"/>
      <c r="U32" s="100"/>
      <c r="W32" s="230"/>
      <c r="Z32" s="309"/>
      <c r="AA32" s="309"/>
      <c r="AB32" s="309"/>
      <c r="AC32" s="309"/>
    </row>
    <row r="33" spans="1:32" x14ac:dyDescent="0.25">
      <c r="A33" s="14"/>
      <c r="B33" s="13"/>
      <c r="C33" s="13"/>
      <c r="D33" s="5"/>
      <c r="E33" s="5"/>
      <c r="F33" s="5"/>
      <c r="H33" s="13"/>
      <c r="I33" s="77" t="s">
        <v>15</v>
      </c>
      <c r="J33" s="188"/>
      <c r="K33" s="89">
        <f xml:space="preserve"> SUM(K3:K31)</f>
        <v>0</v>
      </c>
      <c r="L33" s="90">
        <f xml:space="preserve"> SUM(L3:L31)</f>
        <v>0</v>
      </c>
      <c r="M33" s="89">
        <f>SUM(M3:M32)</f>
        <v>0</v>
      </c>
      <c r="N33" s="76">
        <f>SUM(N3:N32)</f>
        <v>0</v>
      </c>
      <c r="O33" s="89">
        <f>SUM(O3:O31)</f>
        <v>0</v>
      </c>
      <c r="P33" s="74">
        <f>SUM(P3:P31)</f>
        <v>0</v>
      </c>
      <c r="Q33" s="91">
        <f>SUM(Q3:Q31)</f>
        <v>0</v>
      </c>
      <c r="R33" s="155">
        <f>SUM(R3:R31)</f>
        <v>0</v>
      </c>
      <c r="S33" s="155">
        <f>SUM(S3:S31)</f>
        <v>0</v>
      </c>
      <c r="T33" s="140"/>
      <c r="U33" s="41"/>
      <c r="V33" s="140"/>
      <c r="W33" s="231"/>
      <c r="X33" s="92">
        <f>SUM(X3:X31)</f>
        <v>0</v>
      </c>
      <c r="Y33" s="92">
        <f>SUM(Y3:Y31)</f>
        <v>0</v>
      </c>
      <c r="Z33" s="309"/>
      <c r="AA33" s="309"/>
      <c r="AB33" s="309"/>
      <c r="AC33" s="309"/>
      <c r="AE33" s="4">
        <f>SUM(AE3:AE31)</f>
        <v>0</v>
      </c>
    </row>
    <row r="34" spans="1:32" x14ac:dyDescent="0.25">
      <c r="A34" s="41"/>
      <c r="B34" s="46"/>
      <c r="C34" s="46"/>
      <c r="D34" s="80"/>
      <c r="E34" s="80"/>
      <c r="F34" s="80"/>
      <c r="G34" s="80"/>
      <c r="H34" s="46"/>
      <c r="I34" s="80"/>
      <c r="K34" s="81"/>
      <c r="L34" s="82"/>
      <c r="M34" s="306" t="s">
        <v>112</v>
      </c>
      <c r="N34" s="307"/>
      <c r="O34" s="83"/>
      <c r="P34" s="83"/>
      <c r="Q34" s="84"/>
      <c r="R34" s="293">
        <f>R33+S33</f>
        <v>0</v>
      </c>
      <c r="S34" s="294"/>
      <c r="T34" s="41"/>
      <c r="V34" s="41"/>
      <c r="W34" s="232"/>
      <c r="X34" s="41"/>
      <c r="Y34" s="41"/>
      <c r="Z34" s="309"/>
      <c r="AA34" s="309"/>
      <c r="AB34" s="309"/>
      <c r="AC34" s="309"/>
      <c r="AD34" s="41"/>
      <c r="AF34" s="41"/>
    </row>
    <row r="35" spans="1:32" x14ac:dyDescent="0.25">
      <c r="A35" s="41"/>
      <c r="B35" s="85"/>
      <c r="C35" s="85"/>
      <c r="D35" s="80"/>
      <c r="E35" s="80"/>
      <c r="F35" s="80"/>
      <c r="G35" s="80"/>
      <c r="H35" s="85"/>
      <c r="I35" s="80"/>
      <c r="J35" s="190"/>
      <c r="K35" s="80"/>
      <c r="L35" s="79"/>
      <c r="M35" s="292" t="s">
        <v>111</v>
      </c>
      <c r="N35" s="292"/>
      <c r="O35" s="84"/>
      <c r="P35" s="84"/>
      <c r="Q35" s="80"/>
      <c r="R35" s="293"/>
      <c r="S35" s="294"/>
      <c r="T35" s="41"/>
      <c r="U35" s="141"/>
      <c r="V35" s="41"/>
      <c r="W35" s="232"/>
      <c r="X35" s="41"/>
      <c r="Y35" s="41"/>
      <c r="Z35" s="309"/>
      <c r="AA35" s="309"/>
      <c r="AB35" s="309"/>
      <c r="AC35" s="309"/>
      <c r="AD35" s="41"/>
      <c r="AF35" s="41"/>
    </row>
    <row r="36" spans="1:32" x14ac:dyDescent="0.25">
      <c r="A36" s="41"/>
      <c r="B36" s="41"/>
      <c r="C36" s="41"/>
      <c r="D36" s="41"/>
      <c r="E36" s="41"/>
      <c r="F36" s="41"/>
      <c r="G36" s="41"/>
      <c r="H36" s="41"/>
      <c r="I36" s="41"/>
      <c r="K36" s="41"/>
      <c r="L36" s="79"/>
      <c r="M36" s="292" t="s">
        <v>113</v>
      </c>
      <c r="N36" s="292"/>
      <c r="O36" s="86"/>
      <c r="P36" s="86"/>
      <c r="Q36" s="80"/>
      <c r="R36" s="293">
        <f>((R34*Basisgegevens!D44)-(R35*Basisgegevens!D47))/Basisgegevens!D44</f>
        <v>0</v>
      </c>
      <c r="S36" s="294"/>
      <c r="T36" s="41"/>
      <c r="V36" s="41"/>
      <c r="W36" s="232"/>
      <c r="X36" s="41"/>
      <c r="Y36" s="41"/>
      <c r="Z36" s="309"/>
      <c r="AA36" s="309"/>
      <c r="AB36" s="309"/>
      <c r="AC36" s="309"/>
      <c r="AD36" s="41"/>
      <c r="AE36" s="41"/>
      <c r="AF36" s="41"/>
    </row>
    <row r="37" spans="1:32" x14ac:dyDescent="0.25">
      <c r="A37" s="41"/>
      <c r="B37" s="41"/>
      <c r="C37" s="41"/>
      <c r="D37" s="41"/>
      <c r="E37" s="41"/>
      <c r="F37" s="41"/>
      <c r="G37" s="80"/>
      <c r="H37" s="41"/>
      <c r="I37" s="41"/>
      <c r="K37" s="41"/>
      <c r="L37" s="79"/>
      <c r="M37" s="4"/>
      <c r="O37" s="80"/>
      <c r="P37" s="87"/>
      <c r="Q37" s="42"/>
      <c r="R37" s="46"/>
      <c r="S37" s="46"/>
      <c r="T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 x14ac:dyDescent="0.25">
      <c r="A38" s="41"/>
      <c r="B38" s="41"/>
      <c r="C38" s="41"/>
      <c r="D38" s="41"/>
      <c r="E38" s="41"/>
      <c r="F38" s="41"/>
      <c r="G38" s="41"/>
      <c r="H38" s="41"/>
      <c r="I38" s="41"/>
      <c r="K38" s="80"/>
      <c r="L38" s="42"/>
      <c r="O38" s="80"/>
      <c r="P38" s="87"/>
      <c r="Q38" s="42"/>
      <c r="R38" s="46"/>
      <c r="S38" s="46"/>
      <c r="T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spans="1:32" x14ac:dyDescent="0.25">
      <c r="A39" s="41"/>
      <c r="B39" s="41"/>
      <c r="C39" s="41"/>
      <c r="D39" s="41"/>
      <c r="E39" s="41"/>
      <c r="F39" s="41"/>
      <c r="G39" s="41"/>
      <c r="H39" s="41"/>
      <c r="I39" s="41"/>
      <c r="K39" s="80"/>
      <c r="L39" s="79"/>
      <c r="O39" s="41"/>
      <c r="P39" s="41"/>
      <c r="Q39" s="41"/>
      <c r="R39" s="46"/>
      <c r="S39" s="46"/>
      <c r="T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spans="1:32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81"/>
      <c r="L40" s="78"/>
      <c r="O40" s="86"/>
      <c r="P40" s="86"/>
      <c r="Q40" s="80"/>
      <c r="R40" s="46"/>
      <c r="S40" s="46"/>
      <c r="T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</row>
    <row r="41" spans="1:32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41"/>
      <c r="O41" s="80"/>
      <c r="P41" s="87"/>
      <c r="Q41" s="42"/>
      <c r="R41" s="46"/>
      <c r="S41" s="46"/>
      <c r="T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spans="1:32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80"/>
      <c r="L42" s="42"/>
      <c r="M42" s="4"/>
      <c r="O42" s="80"/>
      <c r="P42" s="87"/>
      <c r="Q42" s="42"/>
      <c r="R42" s="46"/>
      <c r="S42" s="46"/>
      <c r="T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</row>
    <row r="43" spans="1:32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80"/>
      <c r="L43" s="80"/>
      <c r="M43" s="4"/>
      <c r="O43" s="41"/>
      <c r="P43" s="41"/>
      <c r="Q43" s="41"/>
      <c r="R43" s="46"/>
      <c r="S43" s="46"/>
      <c r="T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</row>
    <row r="44" spans="1:32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O44" s="41"/>
      <c r="P44" s="88"/>
      <c r="Q44" s="43"/>
      <c r="R44" s="46"/>
      <c r="S44" s="46"/>
      <c r="T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</row>
    <row r="45" spans="1:32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O45" s="41"/>
      <c r="P45" s="88"/>
      <c r="Q45" s="43"/>
      <c r="R45" s="46"/>
      <c r="S45" s="46"/>
      <c r="T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spans="1:32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</row>
    <row r="47" spans="1:32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</row>
    <row r="48" spans="1:32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</row>
  </sheetData>
  <mergeCells count="17">
    <mergeCell ref="V1:V2"/>
    <mergeCell ref="W1:W2"/>
    <mergeCell ref="Z18:AC36"/>
    <mergeCell ref="R35:S35"/>
    <mergeCell ref="R36:S36"/>
    <mergeCell ref="U1:U2"/>
    <mergeCell ref="A1:B2"/>
    <mergeCell ref="C1:G1"/>
    <mergeCell ref="T1:T2"/>
    <mergeCell ref="M34:N34"/>
    <mergeCell ref="M35:N35"/>
    <mergeCell ref="M36:N36"/>
    <mergeCell ref="K1:L1"/>
    <mergeCell ref="H1:I1"/>
    <mergeCell ref="R34:S34"/>
    <mergeCell ref="J1:J2"/>
    <mergeCell ref="M1:N1"/>
  </mergeCells>
  <phoneticPr fontId="0" type="noConversion"/>
  <conditionalFormatting sqref="A3:W31">
    <cfRule type="expression" dxfId="27" priority="1" stopIfTrue="1">
      <formula>WEEKDAY($B3)=7</formula>
    </cfRule>
    <cfRule type="expression" dxfId="26" priority="2" stopIfTrue="1">
      <formula>WEEKDAY($B3)=1</formula>
    </cfRule>
  </conditionalFormatting>
  <dataValidations count="1">
    <dataValidation type="list" allowBlank="1" sqref="H3:H31" xr:uid="{98DC0A81-2D36-4838-9517-1BF98B69043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4">
    <pageSetUpPr fitToPage="1"/>
  </sheetPr>
  <dimension ref="A1:AE52"/>
  <sheetViews>
    <sheetView zoomScaleNormal="100" workbookViewId="0">
      <pane ySplit="2" topLeftCell="A3" activePane="bottomLeft" state="frozen"/>
      <selection activeCell="F48" sqref="F48"/>
      <selection pane="bottomLeft" activeCell="C29" sqref="C29:W29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.125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>IF(WEEKDAY(B3)=1,"Zondag",IF(WEEKDAY(B3)=2,"Maandag",IF(WEEKDAY(B3)=3,"Dinsdag",IF(WEEKDAY(B3)=4,"Woensdag",IF(WEEKDAY(B3)=5,"Donderdag",IF(WEEKDAY(B3)=6,"Vrijdag","Zaterdag"))))))</f>
        <v>Zondag</v>
      </c>
      <c r="B3" s="226">
        <f>IF((MOD(YEAR(Feb!B30),4)=0),Feb!B31+1,Feb!B30+1)</f>
        <v>46082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0">IF(D3="","",ROUNDDOWN((HOUR(K3))+MINUTE(K3)/60,2))</f>
        <v/>
      </c>
      <c r="M3" s="150">
        <f>IF(C3="",0,(D3-C3)+(F3-E3))</f>
        <v>0</v>
      </c>
      <c r="N3" s="44" t="str">
        <f t="shared" ref="N3:N33" si="1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9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ref="A4:A33" si="2">IF(WEEKDAY(B4)=1,"Zondag",IF(WEEKDAY(B4)=2,"Maandag",IF(WEEKDAY(B4)=3,"Dinsdag",IF(WEEKDAY(B4)=4,"Woensdag",IF(WEEKDAY(B4)=5,"Donderdag",IF(WEEKDAY(B4)=6,"Vrijdag","Zaterdag"))))))</f>
        <v>Maandag</v>
      </c>
      <c r="B4" s="226">
        <f>B3+1</f>
        <v>46083</v>
      </c>
      <c r="C4" s="149"/>
      <c r="D4" s="149"/>
      <c r="E4" s="149"/>
      <c r="F4" s="149"/>
      <c r="G4" s="149"/>
      <c r="H4" s="79"/>
      <c r="I4" s="149"/>
      <c r="J4" s="188" t="str">
        <f t="shared" ref="J4:J33" si="3">IF(I4="","",IF(HOUR(I4)&lt;5,0.5,1))</f>
        <v/>
      </c>
      <c r="K4" s="150">
        <f>IF(Basisgegevens!$F$1="JA",IF(D4="",0,(1-D4)+(E4)-G4),(E4-D4)-G4)</f>
        <v>0</v>
      </c>
      <c r="L4" s="44" t="str">
        <f t="shared" ref="L4:L33" si="4">IF(D4="","",ROUNDDOWN((HOUR(K4))+MINUTE(K4)/60,2))</f>
        <v/>
      </c>
      <c r="M4" s="150">
        <f>IF(C4="",0,(D4-C4)+(F4-E4))</f>
        <v>0</v>
      </c>
      <c r="N4" s="44" t="str">
        <f t="shared" si="1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3" si="5">IF(WEEKDAY(B4)=1,(WEEKNUM(DATE(YEAR(B4),MONTH(B4),DAY(B4)),)-1),WEEKNUM(DATE(YEAR(B4),MONTH(B4),DAY(B4)),))</f>
        <v>10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206">
        <f>LOOKUP(SMALL(W3:W33,1),W3:W33,W3:W33)</f>
        <v>9</v>
      </c>
      <c r="AA4" s="210">
        <f>IF($Z4="","",SUMIFS($K$3:$K$33,$W$3:$W$33,$Z4,$A$3:$A$33,"&lt;&gt;Zaterdag",$A$3:$A$33,"&lt;&gt;Zondag"))</f>
        <v>0</v>
      </c>
      <c r="AB4" s="210">
        <f>IF(Z4="","",SUMIFS(K$3:K$33,W$3:W$33,Z4,A$3:A$33,"&lt;&gt;Zaterdag",A$3:A$33,"&lt;&gt;Zondag")+SUMIFS(I$3:I$33,W$3:W$33,Z4,A$3:A$33,"&lt;&gt;Zaterdag",A$3:A$33,"&lt;&gt;Zondag"))</f>
        <v>0</v>
      </c>
      <c r="AC4" s="167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6">IF(L4="",0,IF(L4&gt;=5,1,0))</f>
        <v>0</v>
      </c>
    </row>
    <row r="5" spans="1:31" x14ac:dyDescent="0.25">
      <c r="A5" s="100" t="str">
        <f t="shared" si="2"/>
        <v>Dinsdag</v>
      </c>
      <c r="B5" s="226">
        <f t="shared" ref="B5:B33" si="7">B4+1</f>
        <v>46084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3" si="8">IF(C5="",0,(D5-C5)+(F5-E5))</f>
        <v>0</v>
      </c>
      <c r="N5" s="44" t="str">
        <f t="shared" si="1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10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10</v>
      </c>
      <c r="AA5" s="211">
        <f t="shared" ref="AA5:AA9" si="9">IF($Z5="","",SUMIFS($K$3:$K$33,$W$3:$W$33,$Z5,$A$3:$A$33,"&lt;&gt;Zaterdag",$A$3:$A$33,"&lt;&gt;Zondag"))</f>
        <v>0</v>
      </c>
      <c r="AB5" s="211">
        <f t="shared" ref="AB5:AB9" si="10">IF(Z5="","",SUMIFS(K$3:K$33,W$3:W$33,Z5,A$3:A$33,"&lt;&gt;Zaterdag",A$3:A$33,"&lt;&gt;Zondag")+SUMIFS(I$3:I$33,W$3:W$33,Z5,A$3:A$33,"&lt;&gt;Zaterdag",A$3:A$33,"&lt;&gt;Zondag"))</f>
        <v>0</v>
      </c>
      <c r="AC5" s="168">
        <f t="shared" ref="AC5:AC9" si="11">IF($Z5="","",SUMIFS($M$3:$M$33,$W$3:$W$33,$Z5,$A$3:$A$33,"&lt;&gt;Zaterdag",$A$3:$A$33,"&lt;&gt;Zondag"))</f>
        <v>0</v>
      </c>
      <c r="AD5" s="238">
        <f t="shared" ref="AD5:AD9" si="12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6"/>
        <v>0</v>
      </c>
    </row>
    <row r="6" spans="1:31" x14ac:dyDescent="0.25">
      <c r="A6" s="100" t="str">
        <f t="shared" si="2"/>
        <v>Woensdag</v>
      </c>
      <c r="B6" s="226">
        <f t="shared" si="7"/>
        <v>46085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1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10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 t="shared" ref="Z6:Z9" si="13">IF(W$33=Z5,"",Z5+1)</f>
        <v>11</v>
      </c>
      <c r="AA6" s="211">
        <f t="shared" si="9"/>
        <v>0</v>
      </c>
      <c r="AB6" s="211">
        <f t="shared" si="10"/>
        <v>0</v>
      </c>
      <c r="AC6" s="168">
        <f t="shared" si="11"/>
        <v>0</v>
      </c>
      <c r="AD6" s="238">
        <f t="shared" si="12"/>
        <v>0</v>
      </c>
      <c r="AE6" s="4">
        <f t="shared" si="6"/>
        <v>0</v>
      </c>
    </row>
    <row r="7" spans="1:31" x14ac:dyDescent="0.25">
      <c r="A7" s="100" t="str">
        <f t="shared" si="2"/>
        <v>Donderdag</v>
      </c>
      <c r="B7" s="226">
        <f t="shared" si="7"/>
        <v>46086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1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10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 t="shared" si="13"/>
        <v>12</v>
      </c>
      <c r="AA7" s="211">
        <f>IF($Z7="","",SUMIFS($K$3:$K$33,$W$3:$W$33,$Z7,$A$3:$A$33,"&lt;&gt;Zaterdag",$A$3:$A$33,"&lt;&gt;Zondag"))</f>
        <v>0</v>
      </c>
      <c r="AB7" s="211">
        <f t="shared" si="10"/>
        <v>0</v>
      </c>
      <c r="AC7" s="168">
        <f t="shared" si="11"/>
        <v>0</v>
      </c>
      <c r="AD7" s="238">
        <f t="shared" si="12"/>
        <v>0</v>
      </c>
      <c r="AE7" s="4">
        <f t="shared" si="6"/>
        <v>0</v>
      </c>
    </row>
    <row r="8" spans="1:31" x14ac:dyDescent="0.25">
      <c r="A8" s="100" t="str">
        <f t="shared" si="2"/>
        <v>Vrijdag</v>
      </c>
      <c r="B8" s="226">
        <f t="shared" si="7"/>
        <v>46087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4"/>
        <v/>
      </c>
      <c r="M8" s="150">
        <f t="shared" si="8"/>
        <v>0</v>
      </c>
      <c r="N8" s="44" t="str">
        <f t="shared" si="1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10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 t="shared" si="13"/>
        <v>13</v>
      </c>
      <c r="AA8" s="211">
        <f t="shared" si="9"/>
        <v>0</v>
      </c>
      <c r="AB8" s="211">
        <f t="shared" si="10"/>
        <v>0</v>
      </c>
      <c r="AC8" s="168">
        <f t="shared" si="11"/>
        <v>0</v>
      </c>
      <c r="AD8" s="238">
        <f t="shared" si="12"/>
        <v>0</v>
      </c>
      <c r="AE8" s="4">
        <f t="shared" si="6"/>
        <v>0</v>
      </c>
    </row>
    <row r="9" spans="1:31" ht="16.5" thickBot="1" x14ac:dyDescent="0.3">
      <c r="A9" s="100" t="str">
        <f t="shared" si="2"/>
        <v>Zaterdag</v>
      </c>
      <c r="B9" s="226">
        <f t="shared" si="7"/>
        <v>46088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1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10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>
        <f t="shared" si="13"/>
        <v>14</v>
      </c>
      <c r="AA9" s="212">
        <f t="shared" si="9"/>
        <v>0</v>
      </c>
      <c r="AB9" s="212">
        <f t="shared" si="10"/>
        <v>0</v>
      </c>
      <c r="AC9" s="64">
        <f t="shared" si="11"/>
        <v>0</v>
      </c>
      <c r="AD9" s="239">
        <f t="shared" si="12"/>
        <v>0</v>
      </c>
      <c r="AE9" s="4">
        <f t="shared" si="6"/>
        <v>0</v>
      </c>
    </row>
    <row r="10" spans="1:31" ht="16.5" thickBot="1" x14ac:dyDescent="0.3">
      <c r="A10" s="100" t="str">
        <f t="shared" si="2"/>
        <v>Zondag</v>
      </c>
      <c r="B10" s="226">
        <f t="shared" si="7"/>
        <v>46089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1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10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6.5" thickBot="1" x14ac:dyDescent="0.3">
      <c r="A11" s="100" t="str">
        <f t="shared" si="2"/>
        <v>Maandag</v>
      </c>
      <c r="B11" s="226">
        <f t="shared" si="7"/>
        <v>46090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4"/>
        <v/>
      </c>
      <c r="M11" s="150">
        <f t="shared" si="8"/>
        <v>0</v>
      </c>
      <c r="N11" s="44" t="str">
        <f t="shared" si="1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11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2"/>
        <v>Dinsdag</v>
      </c>
      <c r="B12" s="226">
        <f t="shared" si="7"/>
        <v>46091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4"/>
        <v/>
      </c>
      <c r="M12" s="150">
        <f t="shared" si="8"/>
        <v>0</v>
      </c>
      <c r="N12" s="44" t="str">
        <f t="shared" si="1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11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4">Z4</f>
        <v>9</v>
      </c>
      <c r="AA12" s="207">
        <f t="shared" ref="AA12:AC17" si="15">IF(AA4="","",AA4*24)</f>
        <v>0</v>
      </c>
      <c r="AB12" s="207">
        <f t="shared" si="15"/>
        <v>0</v>
      </c>
      <c r="AC12" s="203">
        <f t="shared" si="15"/>
        <v>0</v>
      </c>
      <c r="AE12" s="4">
        <f t="shared" si="6"/>
        <v>0</v>
      </c>
    </row>
    <row r="13" spans="1:31" x14ac:dyDescent="0.25">
      <c r="A13" s="100" t="str">
        <f t="shared" si="2"/>
        <v>Woensdag</v>
      </c>
      <c r="B13" s="226">
        <f t="shared" si="7"/>
        <v>46092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4"/>
        <v/>
      </c>
      <c r="M13" s="150">
        <f t="shared" si="8"/>
        <v>0</v>
      </c>
      <c r="N13" s="44" t="str">
        <f t="shared" si="1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11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4"/>
        <v>10</v>
      </c>
      <c r="AA13" s="208">
        <f t="shared" si="15"/>
        <v>0</v>
      </c>
      <c r="AB13" s="208">
        <f t="shared" si="15"/>
        <v>0</v>
      </c>
      <c r="AC13" s="204">
        <f t="shared" si="15"/>
        <v>0</v>
      </c>
      <c r="AE13" s="4">
        <f t="shared" si="6"/>
        <v>0</v>
      </c>
    </row>
    <row r="14" spans="1:31" x14ac:dyDescent="0.25">
      <c r="A14" s="100" t="str">
        <f t="shared" si="2"/>
        <v>Donderdag</v>
      </c>
      <c r="B14" s="226">
        <f t="shared" si="7"/>
        <v>46093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4"/>
        <v/>
      </c>
      <c r="M14" s="150">
        <f t="shared" si="8"/>
        <v>0</v>
      </c>
      <c r="N14" s="44" t="str">
        <f t="shared" si="1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11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4"/>
        <v>11</v>
      </c>
      <c r="AA14" s="208">
        <f t="shared" si="15"/>
        <v>0</v>
      </c>
      <c r="AB14" s="208">
        <f t="shared" si="15"/>
        <v>0</v>
      </c>
      <c r="AC14" s="204">
        <f t="shared" si="15"/>
        <v>0</v>
      </c>
      <c r="AE14" s="4">
        <f t="shared" si="6"/>
        <v>0</v>
      </c>
    </row>
    <row r="15" spans="1:31" x14ac:dyDescent="0.25">
      <c r="A15" s="100" t="str">
        <f t="shared" si="2"/>
        <v>Vrijdag</v>
      </c>
      <c r="B15" s="226">
        <f t="shared" si="7"/>
        <v>46094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4"/>
        <v/>
      </c>
      <c r="M15" s="150">
        <f t="shared" si="8"/>
        <v>0</v>
      </c>
      <c r="N15" s="44" t="str">
        <f t="shared" si="1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11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4"/>
        <v>12</v>
      </c>
      <c r="AA15" s="208">
        <f t="shared" si="15"/>
        <v>0</v>
      </c>
      <c r="AB15" s="208">
        <f t="shared" si="15"/>
        <v>0</v>
      </c>
      <c r="AC15" s="204">
        <f t="shared" si="15"/>
        <v>0</v>
      </c>
      <c r="AE15" s="4">
        <f t="shared" si="6"/>
        <v>0</v>
      </c>
    </row>
    <row r="16" spans="1:31" x14ac:dyDescent="0.25">
      <c r="A16" s="100" t="str">
        <f t="shared" si="2"/>
        <v>Zaterdag</v>
      </c>
      <c r="B16" s="226">
        <f t="shared" si="7"/>
        <v>46095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4"/>
        <v/>
      </c>
      <c r="M16" s="150">
        <f t="shared" si="8"/>
        <v>0</v>
      </c>
      <c r="N16" s="44" t="str">
        <f t="shared" si="1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11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4"/>
        <v>13</v>
      </c>
      <c r="AA16" s="208">
        <f t="shared" si="15"/>
        <v>0</v>
      </c>
      <c r="AB16" s="208">
        <f t="shared" si="15"/>
        <v>0</v>
      </c>
      <c r="AC16" s="204">
        <f t="shared" si="15"/>
        <v>0</v>
      </c>
      <c r="AE16" s="4">
        <f t="shared" si="6"/>
        <v>0</v>
      </c>
    </row>
    <row r="17" spans="1:31" ht="16.5" thickBot="1" x14ac:dyDescent="0.3">
      <c r="A17" s="100" t="str">
        <f t="shared" si="2"/>
        <v>Zondag</v>
      </c>
      <c r="B17" s="226">
        <f t="shared" si="7"/>
        <v>46096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1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11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>
        <f t="shared" si="14"/>
        <v>14</v>
      </c>
      <c r="AA17" s="209">
        <f t="shared" si="15"/>
        <v>0</v>
      </c>
      <c r="AB17" s="209">
        <f t="shared" si="15"/>
        <v>0</v>
      </c>
      <c r="AC17" s="205">
        <f t="shared" si="15"/>
        <v>0</v>
      </c>
      <c r="AE17" s="4">
        <f t="shared" si="6"/>
        <v>0</v>
      </c>
    </row>
    <row r="18" spans="1:31" x14ac:dyDescent="0.25">
      <c r="A18" s="100" t="str">
        <f t="shared" si="2"/>
        <v>Maandag</v>
      </c>
      <c r="B18" s="226">
        <f t="shared" si="7"/>
        <v>46097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1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12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6"/>
        <v>0</v>
      </c>
    </row>
    <row r="19" spans="1:31" x14ac:dyDescent="0.25">
      <c r="A19" s="100" t="str">
        <f t="shared" si="2"/>
        <v>Dinsdag</v>
      </c>
      <c r="B19" s="226">
        <f t="shared" si="7"/>
        <v>46098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1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12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6"/>
        <v>0</v>
      </c>
    </row>
    <row r="20" spans="1:31" x14ac:dyDescent="0.25">
      <c r="A20" s="100" t="str">
        <f t="shared" si="2"/>
        <v>Woensdag</v>
      </c>
      <c r="B20" s="226">
        <f t="shared" si="7"/>
        <v>46099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1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12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6"/>
        <v>0</v>
      </c>
    </row>
    <row r="21" spans="1:31" x14ac:dyDescent="0.25">
      <c r="A21" s="100" t="str">
        <f t="shared" si="2"/>
        <v>Donderdag</v>
      </c>
      <c r="B21" s="226">
        <f t="shared" si="7"/>
        <v>46100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1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12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6"/>
        <v>0</v>
      </c>
    </row>
    <row r="22" spans="1:31" x14ac:dyDescent="0.25">
      <c r="A22" s="100" t="str">
        <f t="shared" si="2"/>
        <v>Vrijdag</v>
      </c>
      <c r="B22" s="226">
        <f t="shared" si="7"/>
        <v>46101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1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12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6"/>
        <v>0</v>
      </c>
    </row>
    <row r="23" spans="1:31" x14ac:dyDescent="0.25">
      <c r="A23" s="100" t="str">
        <f t="shared" si="2"/>
        <v>Zaterdag</v>
      </c>
      <c r="B23" s="226">
        <f t="shared" si="7"/>
        <v>46102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1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12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6"/>
        <v>0</v>
      </c>
    </row>
    <row r="24" spans="1:31" x14ac:dyDescent="0.25">
      <c r="A24" s="100" t="str">
        <f t="shared" si="2"/>
        <v>Zondag</v>
      </c>
      <c r="B24" s="226">
        <f t="shared" si="7"/>
        <v>46103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1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12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6"/>
        <v>0</v>
      </c>
    </row>
    <row r="25" spans="1:31" x14ac:dyDescent="0.25">
      <c r="A25" s="100" t="str">
        <f t="shared" si="2"/>
        <v>Maandag</v>
      </c>
      <c r="B25" s="226">
        <f t="shared" si="7"/>
        <v>46104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1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13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6"/>
        <v>0</v>
      </c>
    </row>
    <row r="26" spans="1:31" x14ac:dyDescent="0.25">
      <c r="A26" s="100" t="str">
        <f t="shared" si="2"/>
        <v>Dinsdag</v>
      </c>
      <c r="B26" s="226">
        <f t="shared" si="7"/>
        <v>46105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1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13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6"/>
        <v>0</v>
      </c>
    </row>
    <row r="27" spans="1:31" x14ac:dyDescent="0.25">
      <c r="A27" s="100" t="str">
        <f t="shared" si="2"/>
        <v>Woensdag</v>
      </c>
      <c r="B27" s="226">
        <f t="shared" si="7"/>
        <v>46106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1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13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6"/>
        <v>0</v>
      </c>
    </row>
    <row r="28" spans="1:31" x14ac:dyDescent="0.25">
      <c r="A28" s="100" t="str">
        <f t="shared" si="2"/>
        <v>Donderdag</v>
      </c>
      <c r="B28" s="226">
        <f t="shared" si="7"/>
        <v>46107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1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13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6"/>
        <v>0</v>
      </c>
    </row>
    <row r="29" spans="1:31" x14ac:dyDescent="0.25">
      <c r="A29" s="100" t="str">
        <f t="shared" si="2"/>
        <v>Vrijdag</v>
      </c>
      <c r="B29" s="226">
        <f t="shared" si="7"/>
        <v>46108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1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13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6"/>
        <v>0</v>
      </c>
    </row>
    <row r="30" spans="1:31" x14ac:dyDescent="0.25">
      <c r="A30" s="100" t="str">
        <f t="shared" si="2"/>
        <v>Zaterdag</v>
      </c>
      <c r="B30" s="226">
        <f t="shared" si="7"/>
        <v>46109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1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13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6"/>
        <v>0</v>
      </c>
    </row>
    <row r="31" spans="1:31" x14ac:dyDescent="0.25">
      <c r="A31" s="100" t="str">
        <f t="shared" si="2"/>
        <v>Zondag</v>
      </c>
      <c r="B31" s="226">
        <f t="shared" si="7"/>
        <v>46110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1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13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6"/>
        <v>0</v>
      </c>
    </row>
    <row r="32" spans="1:31" x14ac:dyDescent="0.25">
      <c r="A32" s="100" t="str">
        <f t="shared" si="2"/>
        <v>Maandag</v>
      </c>
      <c r="B32" s="226">
        <f t="shared" si="7"/>
        <v>46111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1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14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6"/>
        <v>0</v>
      </c>
    </row>
    <row r="33" spans="1:31" x14ac:dyDescent="0.25">
      <c r="A33" s="100" t="str">
        <f t="shared" si="2"/>
        <v>Dinsdag</v>
      </c>
      <c r="B33" s="226">
        <f t="shared" si="7"/>
        <v>46112</v>
      </c>
      <c r="C33" s="149"/>
      <c r="D33" s="149"/>
      <c r="E33" s="149"/>
      <c r="F33" s="149"/>
      <c r="G33" s="149"/>
      <c r="H33" s="79"/>
      <c r="I33" s="149"/>
      <c r="J33" s="188" t="str">
        <f t="shared" si="3"/>
        <v/>
      </c>
      <c r="K33" s="150">
        <f>IF(Basisgegevens!$F$1="JA",IF(D33="",0,(1-D33)+(E33)-G33),(E33-D33)-G33)</f>
        <v>0</v>
      </c>
      <c r="L33" s="44" t="str">
        <f t="shared" si="4"/>
        <v/>
      </c>
      <c r="M33" s="150">
        <f t="shared" si="8"/>
        <v>0</v>
      </c>
      <c r="N33" s="44" t="str">
        <f t="shared" si="1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R33" s="153"/>
      <c r="S33" s="153"/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5"/>
        <v>14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09"/>
      <c r="AA33" s="309"/>
      <c r="AB33" s="309"/>
      <c r="AC33" s="309"/>
      <c r="AE33" s="4">
        <f t="shared" si="6"/>
        <v>0</v>
      </c>
    </row>
    <row r="34" spans="1:31" x14ac:dyDescent="0.25">
      <c r="A34" s="2"/>
      <c r="B34" s="8"/>
      <c r="C34" s="8"/>
      <c r="D34" s="5"/>
      <c r="E34" s="5"/>
      <c r="F34" s="5"/>
      <c r="G34" s="5"/>
      <c r="H34" s="5"/>
      <c r="K34" s="3"/>
      <c r="L34" s="3"/>
      <c r="M34" s="3"/>
      <c r="N34" s="44"/>
      <c r="O34" s="3"/>
      <c r="P34" s="6"/>
      <c r="Q34" s="7"/>
      <c r="W34" s="230"/>
      <c r="Z34" s="309"/>
      <c r="AA34" s="309"/>
      <c r="AB34" s="309"/>
      <c r="AC34" s="309"/>
    </row>
    <row r="35" spans="1:31" x14ac:dyDescent="0.25">
      <c r="A35" s="14"/>
      <c r="B35" s="2"/>
      <c r="C35" s="2"/>
      <c r="D35" s="5"/>
      <c r="E35" s="5"/>
      <c r="F35" s="5"/>
      <c r="H35" s="5"/>
      <c r="I35" s="93" t="s">
        <v>15</v>
      </c>
      <c r="J35" s="190"/>
      <c r="K35" s="89">
        <f t="shared" ref="K35:Y35" si="16">SUM(K3:K33)</f>
        <v>0</v>
      </c>
      <c r="L35" s="90">
        <f t="shared" si="16"/>
        <v>0</v>
      </c>
      <c r="M35" s="89">
        <f t="shared" si="16"/>
        <v>0</v>
      </c>
      <c r="N35" s="76">
        <f t="shared" si="16"/>
        <v>0</v>
      </c>
      <c r="O35" s="89">
        <f t="shared" si="16"/>
        <v>0</v>
      </c>
      <c r="P35" s="74">
        <f t="shared" si="16"/>
        <v>0</v>
      </c>
      <c r="Q35" s="91">
        <f t="shared" si="16"/>
        <v>0</v>
      </c>
      <c r="R35" s="155">
        <f t="shared" si="16"/>
        <v>0</v>
      </c>
      <c r="S35" s="155">
        <f t="shared" ref="S35" si="17">SUM(S3:S33)</f>
        <v>0</v>
      </c>
      <c r="T35" s="140"/>
      <c r="U35" s="141"/>
      <c r="V35" s="140"/>
      <c r="W35" s="231"/>
      <c r="X35" s="92">
        <f t="shared" si="16"/>
        <v>0</v>
      </c>
      <c r="Y35" s="92">
        <f t="shared" si="16"/>
        <v>0</v>
      </c>
      <c r="Z35" s="309"/>
      <c r="AA35" s="309"/>
      <c r="AB35" s="309"/>
      <c r="AC35" s="309"/>
      <c r="AE35" s="4">
        <f>SUM(AE3:AE33)</f>
        <v>0</v>
      </c>
    </row>
    <row r="36" spans="1:31" x14ac:dyDescent="0.25">
      <c r="A36" s="41"/>
      <c r="B36" s="41"/>
      <c r="C36" s="41"/>
      <c r="D36" s="41"/>
      <c r="E36" s="41"/>
      <c r="F36" s="41"/>
      <c r="G36" s="41"/>
      <c r="H36" s="41"/>
      <c r="I36" s="41"/>
      <c r="K36" s="41"/>
      <c r="L36" s="84"/>
      <c r="M36" s="306" t="s">
        <v>112</v>
      </c>
      <c r="N36" s="307"/>
      <c r="O36" s="41"/>
      <c r="P36" s="88"/>
      <c r="Q36" s="43"/>
      <c r="R36" s="293">
        <f>R35+S35</f>
        <v>0</v>
      </c>
      <c r="S36" s="294"/>
      <c r="T36" s="41"/>
      <c r="V36" s="41"/>
      <c r="W36" s="232"/>
      <c r="X36" s="41"/>
      <c r="Y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41"/>
      <c r="H37" s="41"/>
      <c r="I37" s="41"/>
      <c r="K37" s="41"/>
      <c r="L37" s="79"/>
      <c r="M37" s="292" t="s">
        <v>111</v>
      </c>
      <c r="N37" s="292"/>
      <c r="O37" s="84"/>
      <c r="P37" s="84"/>
      <c r="Q37" s="80"/>
      <c r="R37" s="293"/>
      <c r="S37" s="294"/>
      <c r="T37" s="41"/>
      <c r="V37" s="41"/>
      <c r="W37" s="232"/>
      <c r="X37" s="41"/>
      <c r="Y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80"/>
      <c r="H38" s="41"/>
      <c r="I38" s="41"/>
      <c r="K38" s="80"/>
      <c r="L38" s="79"/>
      <c r="M38" s="292" t="s">
        <v>113</v>
      </c>
      <c r="N38" s="292"/>
      <c r="O38" s="86"/>
      <c r="P38" s="86"/>
      <c r="Q38" s="80"/>
      <c r="R38" s="293">
        <f>((R36*Basisgegevens!D44)-(R37*Basisgegevens!D47))/Basisgegevens!D44</f>
        <v>0</v>
      </c>
      <c r="S38" s="294"/>
      <c r="T38" s="41"/>
      <c r="V38" s="41"/>
      <c r="W38" s="232"/>
      <c r="X38" s="41"/>
      <c r="Y38" s="41"/>
      <c r="Z38" s="309"/>
      <c r="AA38" s="309"/>
      <c r="AB38" s="309"/>
      <c r="AC38" s="309"/>
    </row>
    <row r="39" spans="1:31" x14ac:dyDescent="0.25">
      <c r="A39" s="41"/>
      <c r="B39" s="41"/>
      <c r="C39" s="41"/>
      <c r="D39" s="41"/>
      <c r="E39" s="80"/>
      <c r="F39" s="80"/>
      <c r="G39" s="41"/>
      <c r="H39" s="41"/>
      <c r="I39" s="41"/>
      <c r="K39" s="41"/>
      <c r="L39" s="79"/>
      <c r="M39" s="4"/>
      <c r="O39" s="80"/>
      <c r="P39" s="87"/>
      <c r="Q39" s="42"/>
      <c r="R39" s="46"/>
      <c r="S39" s="46"/>
      <c r="T39" s="41"/>
      <c r="V39" s="41"/>
      <c r="W39" s="41"/>
      <c r="X39" s="41"/>
      <c r="Y39" s="41"/>
      <c r="Z39" s="41"/>
    </row>
    <row r="40" spans="1:31" x14ac:dyDescent="0.25">
      <c r="A40" s="41"/>
      <c r="B40" s="41"/>
      <c r="C40" s="41"/>
      <c r="D40" s="41"/>
      <c r="E40" s="41"/>
      <c r="F40" s="41"/>
      <c r="G40" s="80"/>
      <c r="H40" s="41"/>
      <c r="I40" s="41"/>
      <c r="K40" s="80"/>
      <c r="L40" s="41"/>
      <c r="O40" s="80"/>
      <c r="P40" s="87"/>
      <c r="Q40" s="42"/>
      <c r="R40" s="46"/>
      <c r="S40" s="46"/>
      <c r="T40" s="41"/>
      <c r="V40" s="41"/>
      <c r="W40" s="41"/>
      <c r="X40" s="41"/>
      <c r="Y40" s="41"/>
      <c r="Z40" s="41"/>
    </row>
    <row r="41" spans="1:31" x14ac:dyDescent="0.25">
      <c r="A41" s="41"/>
      <c r="B41" s="41"/>
      <c r="C41" s="41"/>
      <c r="D41" s="41"/>
      <c r="E41" s="41"/>
      <c r="F41" s="41"/>
      <c r="G41" s="80"/>
      <c r="H41" s="41"/>
      <c r="I41" s="41"/>
      <c r="K41" s="80"/>
      <c r="L41" s="79"/>
      <c r="O41" s="41"/>
      <c r="P41" s="41"/>
      <c r="Q41" s="41"/>
      <c r="R41" s="46"/>
      <c r="S41" s="46"/>
      <c r="T41" s="41"/>
      <c r="V41" s="41"/>
      <c r="W41" s="41"/>
      <c r="X41" s="41"/>
      <c r="Y41" s="41"/>
      <c r="Z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6"/>
      <c r="S42" s="46"/>
      <c r="T42" s="41"/>
      <c r="V42" s="41"/>
      <c r="W42" s="41"/>
      <c r="X42" s="41"/>
      <c r="Y42" s="41"/>
      <c r="Z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O43" s="41"/>
      <c r="P43" s="88"/>
      <c r="Q43" s="43"/>
      <c r="R43" s="46"/>
      <c r="S43" s="46"/>
      <c r="T43" s="41"/>
      <c r="V43" s="41"/>
      <c r="W43" s="41"/>
      <c r="X43" s="41"/>
      <c r="Y43" s="41"/>
      <c r="Z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41"/>
      <c r="V44" s="41"/>
      <c r="W44" s="41"/>
      <c r="X44" s="41"/>
      <c r="Y44" s="41"/>
      <c r="Z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M45" s="4"/>
      <c r="O45" s="41"/>
      <c r="P45" s="88"/>
      <c r="Q45" s="43"/>
      <c r="R45" s="46"/>
      <c r="S45" s="46"/>
      <c r="T45" s="41"/>
      <c r="V45" s="41"/>
      <c r="W45" s="41"/>
      <c r="X45" s="41"/>
      <c r="Y45" s="41"/>
      <c r="Z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41"/>
      <c r="V46" s="41"/>
      <c r="W46" s="41"/>
      <c r="X46" s="41"/>
      <c r="Y46" s="41"/>
      <c r="Z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41"/>
      <c r="V47" s="41"/>
      <c r="W47" s="41"/>
      <c r="X47" s="41"/>
      <c r="Y47" s="41"/>
      <c r="Z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41"/>
      <c r="V48" s="41"/>
      <c r="W48" s="41"/>
      <c r="X48" s="41"/>
      <c r="Y48" s="41"/>
      <c r="Z48" s="41"/>
    </row>
    <row r="49" spans="1:26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41"/>
      <c r="V49" s="41"/>
      <c r="W49" s="41"/>
      <c r="X49" s="41"/>
      <c r="Y49" s="41"/>
      <c r="Z49" s="41"/>
    </row>
    <row r="50" spans="1:26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41"/>
      <c r="V50" s="41"/>
      <c r="W50" s="41"/>
      <c r="X50" s="41"/>
      <c r="Y50" s="41"/>
      <c r="Z50" s="41"/>
    </row>
    <row r="51" spans="1:26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41"/>
      <c r="V51" s="41"/>
      <c r="W51" s="41"/>
      <c r="X51" s="41"/>
      <c r="Y51" s="41"/>
      <c r="Z51" s="41"/>
    </row>
    <row r="52" spans="1:26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41"/>
      <c r="V52" s="41"/>
      <c r="W52" s="41"/>
      <c r="X52" s="41"/>
      <c r="Y52" s="41"/>
      <c r="Z52" s="41"/>
    </row>
  </sheetData>
  <mergeCells count="17">
    <mergeCell ref="R36:S36"/>
    <mergeCell ref="J1:J2"/>
    <mergeCell ref="M1:N1"/>
    <mergeCell ref="M36:N36"/>
    <mergeCell ref="Z18:AC38"/>
    <mergeCell ref="M37:N37"/>
    <mergeCell ref="M38:N38"/>
    <mergeCell ref="R37:S37"/>
    <mergeCell ref="R38:S38"/>
    <mergeCell ref="A1:B2"/>
    <mergeCell ref="C1:G1"/>
    <mergeCell ref="T1:T2"/>
    <mergeCell ref="V1:V2"/>
    <mergeCell ref="W1:W2"/>
    <mergeCell ref="U1:U2"/>
    <mergeCell ref="K1:L1"/>
    <mergeCell ref="H1:I1"/>
  </mergeCells>
  <phoneticPr fontId="0" type="noConversion"/>
  <conditionalFormatting sqref="A3:W33">
    <cfRule type="expression" dxfId="25" priority="1" stopIfTrue="1">
      <formula>WEEKDAY($B3)=7</formula>
    </cfRule>
    <cfRule type="expression" dxfId="24" priority="2" stopIfTrue="1">
      <formula>WEEKDAY($B3)=1</formula>
    </cfRule>
  </conditionalFormatting>
  <dataValidations disablePrompts="1" count="1">
    <dataValidation type="list" allowBlank="1" sqref="H3:H33" xr:uid="{00000000-0002-0000-02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5">
    <pageSetUpPr fitToPage="1"/>
  </sheetPr>
  <dimension ref="A1:AE65536"/>
  <sheetViews>
    <sheetView zoomScaleNormal="100" workbookViewId="0">
      <pane ySplit="2" topLeftCell="A3" activePane="bottomLeft" state="frozen"/>
      <selection activeCell="F48" sqref="F48"/>
      <selection pane="bottomLeft" activeCell="I25" sqref="I25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.125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>IF(WEEKDAY(B3)=1,"Zondag",IF(WEEKDAY(B3)=2,"Maandag",IF(WEEKDAY(B3)=3,"Dinsdag",IF(WEEKDAY(B3)=4,"Woensdag",IF(WEEKDAY(B3)=5,"Donderdag",IF(WEEKDAY(B3)=6,"Vrijdag","Zaterdag"))))))</f>
        <v>Woensdag</v>
      </c>
      <c r="B3" s="226">
        <f>Maa!B33+1</f>
        <v>46113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0">IF(D3="","",ROUNDDOWN((HOUR(K3))+MINUTE(K3)/60,2))</f>
        <v/>
      </c>
      <c r="M3" s="150">
        <f>IF(C3="",0,(D3-C3)+(F3-E3))</f>
        <v>0</v>
      </c>
      <c r="N3" s="44" t="str">
        <f t="shared" ref="N3:N33" si="1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14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>IF(WEEKDAY(B4)=1,"Zondag",IF(WEEKDAY(B4)=2,"Maandag",IF(WEEKDAY(B4)=3,"Dinsdag",IF(WEEKDAY(B4)=4,"Woensdag",IF(WEEKDAY(B4)=5,"Donderdag",IF(WEEKDAY(B4)=6,"Vrijdag","Zaterdag"))))))</f>
        <v>Donderdag</v>
      </c>
      <c r="B4" s="226">
        <f>B3+1</f>
        <v>46114</v>
      </c>
      <c r="C4" s="149"/>
      <c r="D4" s="149"/>
      <c r="E4" s="149"/>
      <c r="F4" s="149"/>
      <c r="G4" s="149"/>
      <c r="H4" s="79"/>
      <c r="I4" s="149"/>
      <c r="J4" s="188" t="str">
        <f t="shared" ref="J4:J32" si="2">IF(I4="","",IF(HOUR(I4)&lt;5,0.5,1))</f>
        <v/>
      </c>
      <c r="K4" s="150">
        <f>IF(Basisgegevens!$F$1="JA",IF(D4="",0,(1-D4)+(E4)-G4),(E4-D4)-G4)</f>
        <v>0</v>
      </c>
      <c r="L4" s="44" t="str">
        <f t="shared" ref="L4:L32" si="3">IF(D4="","",ROUNDDOWN((HOUR(K4))+MINUTE(K4)/60,2))</f>
        <v/>
      </c>
      <c r="M4" s="150">
        <f>IF(C4="",0,(D4-C4)+(F4-E4))</f>
        <v>0</v>
      </c>
      <c r="N4" s="44" t="str">
        <f t="shared" si="1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2" si="4">IF(WEEKDAY(B4)=1,(WEEKNUM(DATE(YEAR(B4),MONTH(B4),DAY(B4)),)-1),WEEKNUM(DATE(YEAR(B4),MONTH(B4),DAY(B4)),))</f>
        <v>14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LOOKUP(SMALL(W3:W32,1),W3:W32,W3:W32)</f>
        <v>14</v>
      </c>
      <c r="AA4" s="199">
        <f>IF($Z4="","",SUMIFS($K$3:$K$32,$W$3:$W$32,$Z4,$A$3:$A$32,"&lt;&gt;Zaterdag",$A$3:$A$32,"&lt;&gt;Zondag"))</f>
        <v>0</v>
      </c>
      <c r="AB4" s="199">
        <f>IF(Z4="","",SUMIFS(K$3:K$32,W$3:W$32,Z4,A$3:A$32,"&lt;&gt;Zaterdag",A$3:A$32,"&lt;&gt;Zondag")+SUMIFS(I$3:I$32,W$3:W$32,Z4,A$3:A$32,"&lt;&gt;Zaterdag",A$3:A$32,"&lt;&gt;Zondag"))</f>
        <v>0</v>
      </c>
      <c r="AC4" s="167">
        <f>IF($Z4="","",SUMIFS($M$3:$M$32,$W$3:$W$32,$Z4,$A$3:$A$32,"&lt;&gt;Zaterdag",$A$3:$A$32,"&lt;&gt;Zondag"))</f>
        <v>0</v>
      </c>
      <c r="AD4" s="237">
        <f>IF($Z4="","",SUMIFS($K$3:$K$32,$W$3:$W$32,$Z4,$A$3:$A$32,"&lt;&gt;Zaterdag",$A$3:$A$32,"&lt;&gt;Zondag")+SUMIFS($I$3:$I$32,$W$3:$W$32,$Z4,$A$3:$A$32,"&lt;&gt;Zaterdag",$A$3:$A$32,"&lt;&gt;Zondag",$H$3:$H$32,"=ADV")+SUMIFS($I$3:$I$32,$W$3:$W$32,$Z4,$A$3:$A$32,"&lt;&gt;Zaterdag",$A$3:$A$32,"&lt;&gt;Zondag",$H$3:$H$32,"=BF")+SUMIFS($I$3:$I$32,$W$3:$W$32,$Z4,$A$3:$A$32,"&lt;&gt;Zaterdag",$A$3:$A$32,"&lt;&gt;Zondag",$H$3:$H$32,"=BIR")+SUMIFS($I$3:$I$32,$W$3:$W$32,$Z4,$A$3:$A$32,"&lt;&gt;Zaterdag",$A$3:$A$32,"&lt;&gt;Zondag",$H$3:$H$32,"=OPL"))</f>
        <v>0</v>
      </c>
      <c r="AE4" s="4">
        <f t="shared" ref="AE4:AE32" si="5">IF(L4="",0,IF(L4&gt;=5,1,0))</f>
        <v>0</v>
      </c>
    </row>
    <row r="5" spans="1:31" x14ac:dyDescent="0.25">
      <c r="A5" s="100" t="str">
        <f t="shared" ref="A5:A32" si="6">IF(WEEKDAY(B5)=1,"Zondag",IF(WEEKDAY(B5)=2,"Maandag",IF(WEEKDAY(B5)=3,"Dinsdag",IF(WEEKDAY(B5)=4,"Woensdag",IF(WEEKDAY(B5)=5,"Donderdag",IF(WEEKDAY(B5)=6,"Vrijdag","Zaterdag"))))))</f>
        <v>Vrijdag</v>
      </c>
      <c r="B5" s="226">
        <f>B4+1</f>
        <v>46115</v>
      </c>
      <c r="C5" s="149"/>
      <c r="D5" s="149"/>
      <c r="E5" s="149"/>
      <c r="F5" s="149"/>
      <c r="G5" s="149"/>
      <c r="H5" s="79"/>
      <c r="I5" s="149"/>
      <c r="J5" s="188" t="str">
        <f t="shared" si="2"/>
        <v/>
      </c>
      <c r="K5" s="150">
        <f>IF(Basisgegevens!$F$1="JA",IF(D5="",0,(1-D5)+(E5)-G5),(E5-D5)-G5)</f>
        <v>0</v>
      </c>
      <c r="L5" s="44" t="str">
        <f t="shared" si="3"/>
        <v/>
      </c>
      <c r="M5" s="150">
        <f t="shared" ref="M5:M32" si="7">IF(C5="",0,(D5-C5)+(F5-E5))</f>
        <v>0</v>
      </c>
      <c r="N5" s="44" t="str">
        <f t="shared" si="1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4"/>
        <v>14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IF(W$32=Z4,"",Z4+1)</f>
        <v>15</v>
      </c>
      <c r="AA5" s="200">
        <f t="shared" ref="AA5:AA9" si="8">IF($Z5="","",SUMIFS($K$3:$K$32,$W$3:$W$32,$Z5,$A$3:$A$32,"&lt;&gt;Zaterdag",$A$3:$A$32,"&lt;&gt;Zondag"))</f>
        <v>0</v>
      </c>
      <c r="AB5" s="200">
        <f t="shared" ref="AB5:AB9" si="9">IF(Z5="","",SUMIFS(K$3:K$32,W$3:W$32,Z5,A$3:A$32,"&lt;&gt;Zaterdag",A$3:A$32,"&lt;&gt;Zondag")+SUMIFS(I$3:I$32,W$3:W$32,Z5,A$3:A$32,"&lt;&gt;Zaterdag",A$3:A$32,"&lt;&gt;Zondag"))</f>
        <v>0</v>
      </c>
      <c r="AC5" s="168">
        <f t="shared" ref="AC5:AC9" si="10">IF($Z5="","",SUMIFS($M$3:$M$32,$W$3:$W$32,$Z5,$A$3:$A$32,"&lt;&gt;Zaterdag",$A$3:$A$32,"&lt;&gt;Zondag"))</f>
        <v>0</v>
      </c>
      <c r="AD5" s="237">
        <f t="shared" ref="AD5:AD9" si="11">IF($Z5="","",SUMIFS($K$3:$K$32,$W$3:$W$32,$Z5,$A$3:$A$32,"&lt;&gt;Zaterdag",$A$3:$A$32,"&lt;&gt;Zondag")+SUMIFS($I$3:$I$32,$W$3:$W$32,$Z5,$A$3:$A$32,"&lt;&gt;Zaterdag",$A$3:$A$32,"&lt;&gt;Zondag",$H$3:$H$32,"=ADV")+SUMIFS($I$3:$I$32,$W$3:$W$32,$Z5,$A$3:$A$32,"&lt;&gt;Zaterdag",$A$3:$A$32,"&lt;&gt;Zondag",$H$3:$H$32,"=BF")+SUMIFS($I$3:$I$32,$W$3:$W$32,$Z5,$A$3:$A$32,"&lt;&gt;Zaterdag",$A$3:$A$32,"&lt;&gt;Zondag",$H$3:$H$32,"=BIR")+SUMIFS($I$3:$I$32,$W$3:$W$32,$Z5,$A$3:$A$32,"&lt;&gt;Zaterdag",$A$3:$A$32,"&lt;&gt;Zondag",$H$3:$H$32,"=OPL"))</f>
        <v>0</v>
      </c>
      <c r="AE5" s="4">
        <f t="shared" si="5"/>
        <v>0</v>
      </c>
    </row>
    <row r="6" spans="1:31" ht="15" customHeight="1" x14ac:dyDescent="0.25">
      <c r="A6" s="100" t="str">
        <f t="shared" si="6"/>
        <v>Zaterdag</v>
      </c>
      <c r="B6" s="226">
        <f t="shared" ref="B6:B32" si="12">B5+1</f>
        <v>46116</v>
      </c>
      <c r="C6" s="149"/>
      <c r="D6" s="149"/>
      <c r="E6" s="149"/>
      <c r="F6" s="149"/>
      <c r="G6" s="149"/>
      <c r="H6" s="79"/>
      <c r="I6" s="149"/>
      <c r="J6" s="188" t="str">
        <f t="shared" si="2"/>
        <v/>
      </c>
      <c r="K6" s="150">
        <f>IF(Basisgegevens!$F$1="JA",IF(D6="",0,(1-D6)+(E6)-G6),(E6-D6)-G6)</f>
        <v>0</v>
      </c>
      <c r="L6" s="44" t="str">
        <f t="shared" si="3"/>
        <v/>
      </c>
      <c r="M6" s="150">
        <f t="shared" si="7"/>
        <v>0</v>
      </c>
      <c r="N6" s="44" t="str">
        <f t="shared" si="1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4"/>
        <v>14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>IF(W$32=Z5,"",Z5+1)</f>
        <v>16</v>
      </c>
      <c r="AA6" s="200">
        <f t="shared" si="8"/>
        <v>0</v>
      </c>
      <c r="AB6" s="200">
        <f t="shared" si="9"/>
        <v>0</v>
      </c>
      <c r="AC6" s="168">
        <f t="shared" si="10"/>
        <v>0</v>
      </c>
      <c r="AD6" s="237">
        <f t="shared" si="11"/>
        <v>0</v>
      </c>
      <c r="AE6" s="4">
        <f t="shared" si="5"/>
        <v>0</v>
      </c>
    </row>
    <row r="7" spans="1:31" x14ac:dyDescent="0.25">
      <c r="A7" s="100" t="str">
        <f t="shared" si="6"/>
        <v>Zondag</v>
      </c>
      <c r="B7" s="226">
        <f t="shared" si="12"/>
        <v>46117</v>
      </c>
      <c r="C7" s="149"/>
      <c r="D7" s="149"/>
      <c r="E7" s="149"/>
      <c r="F7" s="149"/>
      <c r="G7" s="149"/>
      <c r="H7" s="79"/>
      <c r="I7" s="149"/>
      <c r="J7" s="188" t="str">
        <f t="shared" si="2"/>
        <v/>
      </c>
      <c r="K7" s="150">
        <f>IF(Basisgegevens!$F$1="JA",IF(D7="",0,(1-D7)+(E7)-G7),(E7-D7)-G7)</f>
        <v>0</v>
      </c>
      <c r="L7" s="44" t="str">
        <f t="shared" si="3"/>
        <v/>
      </c>
      <c r="M7" s="150">
        <f t="shared" si="7"/>
        <v>0</v>
      </c>
      <c r="N7" s="44" t="str">
        <f t="shared" si="1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>FD</v>
      </c>
      <c r="W7" s="220">
        <f t="shared" si="4"/>
        <v>14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>IF(W$32=Z6,"",Z6+1)</f>
        <v>17</v>
      </c>
      <c r="AA7" s="200">
        <f t="shared" si="8"/>
        <v>0</v>
      </c>
      <c r="AB7" s="200">
        <f t="shared" si="9"/>
        <v>0</v>
      </c>
      <c r="AC7" s="168">
        <f t="shared" si="10"/>
        <v>0</v>
      </c>
      <c r="AD7" s="237">
        <f t="shared" si="11"/>
        <v>0</v>
      </c>
      <c r="AE7" s="4">
        <f t="shared" si="5"/>
        <v>0</v>
      </c>
    </row>
    <row r="8" spans="1:31" x14ac:dyDescent="0.25">
      <c r="A8" s="100" t="str">
        <f t="shared" si="6"/>
        <v>Maandag</v>
      </c>
      <c r="B8" s="226">
        <f t="shared" si="12"/>
        <v>46118</v>
      </c>
      <c r="C8" s="149"/>
      <c r="D8" s="149"/>
      <c r="E8" s="149"/>
      <c r="F8" s="149"/>
      <c r="G8" s="149"/>
      <c r="H8" s="79"/>
      <c r="I8" s="149"/>
      <c r="J8" s="188" t="str">
        <f t="shared" si="2"/>
        <v/>
      </c>
      <c r="K8" s="150">
        <f>IF(Basisgegevens!$F$1="JA",IF(D8="",0,(1-D8)+(E8)-G8),(E8-D8)-G8)</f>
        <v>0</v>
      </c>
      <c r="L8" s="44" t="str">
        <f t="shared" si="3"/>
        <v/>
      </c>
      <c r="M8" s="150">
        <f t="shared" si="7"/>
        <v>0</v>
      </c>
      <c r="N8" s="44" t="str">
        <f t="shared" si="1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>FD</v>
      </c>
      <c r="W8" s="220">
        <f t="shared" si="4"/>
        <v>15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>IF(W$32=Z7,"",Z7+1)</f>
        <v>18</v>
      </c>
      <c r="AA8" s="200">
        <f t="shared" si="8"/>
        <v>0</v>
      </c>
      <c r="AB8" s="200">
        <f t="shared" si="9"/>
        <v>0</v>
      </c>
      <c r="AC8" s="168">
        <f t="shared" si="10"/>
        <v>0</v>
      </c>
      <c r="AD8" s="237">
        <f t="shared" si="11"/>
        <v>0</v>
      </c>
      <c r="AE8" s="4">
        <f t="shared" si="5"/>
        <v>0</v>
      </c>
    </row>
    <row r="9" spans="1:31" ht="16.5" thickBot="1" x14ac:dyDescent="0.3">
      <c r="A9" s="100" t="str">
        <f t="shared" si="6"/>
        <v>Dinsdag</v>
      </c>
      <c r="B9" s="226">
        <f t="shared" si="12"/>
        <v>46119</v>
      </c>
      <c r="C9" s="149"/>
      <c r="D9" s="149"/>
      <c r="E9" s="149"/>
      <c r="F9" s="149"/>
      <c r="G9" s="149"/>
      <c r="H9" s="79"/>
      <c r="I9" s="149"/>
      <c r="J9" s="188" t="str">
        <f t="shared" si="2"/>
        <v/>
      </c>
      <c r="K9" s="150">
        <f>IF(Basisgegevens!$F$1="JA",IF(D9="",0,(1-D9)+(E9)-G9),(E9-D9)-G9)</f>
        <v>0</v>
      </c>
      <c r="L9" s="44" t="str">
        <f t="shared" si="3"/>
        <v/>
      </c>
      <c r="M9" s="150">
        <f t="shared" si="7"/>
        <v>0</v>
      </c>
      <c r="N9" s="44" t="str">
        <f t="shared" si="1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4"/>
        <v>15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>IF(W$32=Z8,"",Z8+1)</f>
        <v/>
      </c>
      <c r="AA9" s="166" t="str">
        <f t="shared" si="8"/>
        <v/>
      </c>
      <c r="AB9" s="166" t="str">
        <f t="shared" si="9"/>
        <v/>
      </c>
      <c r="AC9" s="64" t="str">
        <f t="shared" si="10"/>
        <v/>
      </c>
      <c r="AD9" s="239" t="str">
        <f t="shared" si="11"/>
        <v/>
      </c>
      <c r="AE9" s="4">
        <f t="shared" si="5"/>
        <v>0</v>
      </c>
    </row>
    <row r="10" spans="1:31" ht="16.5" thickBot="1" x14ac:dyDescent="0.3">
      <c r="A10" s="100" t="str">
        <f t="shared" si="6"/>
        <v>Woensdag</v>
      </c>
      <c r="B10" s="226">
        <f t="shared" si="12"/>
        <v>46120</v>
      </c>
      <c r="C10" s="149"/>
      <c r="D10" s="149"/>
      <c r="E10" s="149"/>
      <c r="F10" s="149"/>
      <c r="G10" s="149"/>
      <c r="H10" s="79"/>
      <c r="I10" s="149"/>
      <c r="J10" s="188" t="str">
        <f t="shared" si="2"/>
        <v/>
      </c>
      <c r="K10" s="150">
        <f>IF(Basisgegevens!$F$1="JA",IF(D10="",0,(1-D10)+(E10)-G10),(E10-D10)-G10)</f>
        <v>0</v>
      </c>
      <c r="L10" s="44" t="str">
        <f t="shared" si="3"/>
        <v/>
      </c>
      <c r="M10" s="150">
        <f t="shared" si="7"/>
        <v>0</v>
      </c>
      <c r="N10" s="44" t="str">
        <f t="shared" si="1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4"/>
        <v>15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5"/>
        <v>0</v>
      </c>
    </row>
    <row r="11" spans="1:31" ht="16.5" thickBot="1" x14ac:dyDescent="0.3">
      <c r="A11" s="100" t="str">
        <f t="shared" si="6"/>
        <v>Donderdag</v>
      </c>
      <c r="B11" s="226">
        <f t="shared" si="12"/>
        <v>46121</v>
      </c>
      <c r="C11" s="149"/>
      <c r="D11" s="149"/>
      <c r="E11" s="149"/>
      <c r="F11" s="149"/>
      <c r="G11" s="149"/>
      <c r="H11" s="79"/>
      <c r="I11" s="149"/>
      <c r="J11" s="188" t="str">
        <f t="shared" si="2"/>
        <v/>
      </c>
      <c r="K11" s="150">
        <f>IF(Basisgegevens!$F$1="JA",IF(D11="",0,(1-D11)+(E11)-G11),(E11-D11)-G11)</f>
        <v>0</v>
      </c>
      <c r="L11" s="44" t="str">
        <f t="shared" si="3"/>
        <v/>
      </c>
      <c r="M11" s="150">
        <f t="shared" si="7"/>
        <v>0</v>
      </c>
      <c r="N11" s="44" t="str">
        <f t="shared" si="1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4"/>
        <v>15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5"/>
        <v>0</v>
      </c>
    </row>
    <row r="12" spans="1:31" x14ac:dyDescent="0.25">
      <c r="A12" s="100" t="str">
        <f t="shared" si="6"/>
        <v>Vrijdag</v>
      </c>
      <c r="B12" s="226">
        <f t="shared" si="12"/>
        <v>46122</v>
      </c>
      <c r="C12" s="149"/>
      <c r="D12" s="149"/>
      <c r="E12" s="149"/>
      <c r="F12" s="149"/>
      <c r="G12" s="149"/>
      <c r="H12" s="79"/>
      <c r="I12" s="149"/>
      <c r="J12" s="188" t="str">
        <f t="shared" si="2"/>
        <v/>
      </c>
      <c r="K12" s="150">
        <f>IF(Basisgegevens!$F$1="JA",IF(D12="",0,(1-D12)+(E12)-G12),(E12-D12)-G12)</f>
        <v>0</v>
      </c>
      <c r="L12" s="44" t="str">
        <f t="shared" si="3"/>
        <v/>
      </c>
      <c r="M12" s="150">
        <f t="shared" si="7"/>
        <v>0</v>
      </c>
      <c r="N12" s="44" t="str">
        <f t="shared" si="1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4"/>
        <v>15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3">Z4</f>
        <v>14</v>
      </c>
      <c r="AA12" s="207">
        <f t="shared" ref="AA12:AC17" si="14">IF(AA4="","",AA4*24)</f>
        <v>0</v>
      </c>
      <c r="AB12" s="207">
        <f t="shared" si="14"/>
        <v>0</v>
      </c>
      <c r="AC12" s="203">
        <f t="shared" si="14"/>
        <v>0</v>
      </c>
      <c r="AE12" s="4">
        <f t="shared" si="5"/>
        <v>0</v>
      </c>
    </row>
    <row r="13" spans="1:31" x14ac:dyDescent="0.25">
      <c r="A13" s="100" t="str">
        <f t="shared" si="6"/>
        <v>Zaterdag</v>
      </c>
      <c r="B13" s="226">
        <f t="shared" si="12"/>
        <v>46123</v>
      </c>
      <c r="C13" s="149"/>
      <c r="D13" s="149"/>
      <c r="E13" s="149"/>
      <c r="F13" s="149"/>
      <c r="G13" s="149"/>
      <c r="H13" s="79"/>
      <c r="I13" s="149"/>
      <c r="J13" s="188" t="str">
        <f t="shared" si="2"/>
        <v/>
      </c>
      <c r="K13" s="150">
        <f>IF(Basisgegevens!$F$1="JA",IF(D13="",0,(1-D13)+(E13)-G13),(E13-D13)-G13)</f>
        <v>0</v>
      </c>
      <c r="L13" s="44" t="str">
        <f t="shared" si="3"/>
        <v/>
      </c>
      <c r="M13" s="150">
        <f t="shared" si="7"/>
        <v>0</v>
      </c>
      <c r="N13" s="44" t="str">
        <f t="shared" si="1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4"/>
        <v>15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3"/>
        <v>15</v>
      </c>
      <c r="AA13" s="208">
        <f t="shared" si="14"/>
        <v>0</v>
      </c>
      <c r="AB13" s="208">
        <f t="shared" si="14"/>
        <v>0</v>
      </c>
      <c r="AC13" s="204">
        <f t="shared" si="14"/>
        <v>0</v>
      </c>
      <c r="AE13" s="4">
        <f t="shared" si="5"/>
        <v>0</v>
      </c>
    </row>
    <row r="14" spans="1:31" x14ac:dyDescent="0.25">
      <c r="A14" s="100" t="str">
        <f t="shared" si="6"/>
        <v>Zondag</v>
      </c>
      <c r="B14" s="226">
        <f t="shared" si="12"/>
        <v>46124</v>
      </c>
      <c r="C14" s="149"/>
      <c r="D14" s="149"/>
      <c r="E14" s="149"/>
      <c r="F14" s="149"/>
      <c r="G14" s="149"/>
      <c r="H14" s="79"/>
      <c r="I14" s="149"/>
      <c r="J14" s="188" t="str">
        <f t="shared" si="2"/>
        <v/>
      </c>
      <c r="K14" s="150">
        <f>IF(Basisgegevens!$F$1="JA",IF(D14="",0,(1-D14)+(E14)-G14),(E14-D14)-G14)</f>
        <v>0</v>
      </c>
      <c r="L14" s="44" t="str">
        <f t="shared" si="3"/>
        <v/>
      </c>
      <c r="M14" s="150">
        <f t="shared" si="7"/>
        <v>0</v>
      </c>
      <c r="N14" s="44" t="str">
        <f t="shared" si="1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4"/>
        <v>15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3"/>
        <v>16</v>
      </c>
      <c r="AA14" s="208">
        <f t="shared" si="14"/>
        <v>0</v>
      </c>
      <c r="AB14" s="208">
        <f t="shared" si="14"/>
        <v>0</v>
      </c>
      <c r="AC14" s="204">
        <f t="shared" si="14"/>
        <v>0</v>
      </c>
      <c r="AE14" s="4">
        <f t="shared" si="5"/>
        <v>0</v>
      </c>
    </row>
    <row r="15" spans="1:31" x14ac:dyDescent="0.25">
      <c r="A15" s="100" t="str">
        <f t="shared" si="6"/>
        <v>Maandag</v>
      </c>
      <c r="B15" s="226">
        <f t="shared" si="12"/>
        <v>46125</v>
      </c>
      <c r="C15" s="149"/>
      <c r="D15" s="149"/>
      <c r="E15" s="149"/>
      <c r="F15" s="149"/>
      <c r="G15" s="149"/>
      <c r="H15" s="79"/>
      <c r="I15" s="149"/>
      <c r="J15" s="188" t="str">
        <f t="shared" si="2"/>
        <v/>
      </c>
      <c r="K15" s="150">
        <f>IF(Basisgegevens!$F$1="JA",IF(D15="",0,(1-D15)+(E15)-G15),(E15-D15)-G15)</f>
        <v>0</v>
      </c>
      <c r="L15" s="44" t="str">
        <f t="shared" si="3"/>
        <v/>
      </c>
      <c r="M15" s="150">
        <f t="shared" si="7"/>
        <v>0</v>
      </c>
      <c r="N15" s="44" t="str">
        <f t="shared" si="1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4"/>
        <v>16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3"/>
        <v>17</v>
      </c>
      <c r="AA15" s="208">
        <f t="shared" si="14"/>
        <v>0</v>
      </c>
      <c r="AB15" s="208">
        <f t="shared" si="14"/>
        <v>0</v>
      </c>
      <c r="AC15" s="204">
        <f t="shared" si="14"/>
        <v>0</v>
      </c>
      <c r="AE15" s="4">
        <f t="shared" si="5"/>
        <v>0</v>
      </c>
    </row>
    <row r="16" spans="1:31" x14ac:dyDescent="0.25">
      <c r="A16" s="100" t="str">
        <f t="shared" si="6"/>
        <v>Dinsdag</v>
      </c>
      <c r="B16" s="226">
        <f t="shared" si="12"/>
        <v>46126</v>
      </c>
      <c r="C16" s="149"/>
      <c r="D16" s="149"/>
      <c r="E16" s="149"/>
      <c r="F16" s="149"/>
      <c r="G16" s="149"/>
      <c r="H16" s="79"/>
      <c r="I16" s="149"/>
      <c r="J16" s="188" t="str">
        <f t="shared" si="2"/>
        <v/>
      </c>
      <c r="K16" s="150">
        <f>IF(Basisgegevens!$F$1="JA",IF(D16="",0,(1-D16)+(E16)-G16),(E16-D16)-G16)</f>
        <v>0</v>
      </c>
      <c r="L16" s="44" t="str">
        <f t="shared" si="3"/>
        <v/>
      </c>
      <c r="M16" s="150">
        <f t="shared" si="7"/>
        <v>0</v>
      </c>
      <c r="N16" s="44" t="str">
        <f t="shared" si="1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4"/>
        <v>16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3"/>
        <v>18</v>
      </c>
      <c r="AA16" s="208">
        <f t="shared" si="14"/>
        <v>0</v>
      </c>
      <c r="AB16" s="208">
        <f t="shared" si="14"/>
        <v>0</v>
      </c>
      <c r="AC16" s="204">
        <f t="shared" si="14"/>
        <v>0</v>
      </c>
      <c r="AE16" s="4">
        <f t="shared" si="5"/>
        <v>0</v>
      </c>
    </row>
    <row r="17" spans="1:31" ht="16.5" thickBot="1" x14ac:dyDescent="0.3">
      <c r="A17" s="100" t="str">
        <f t="shared" si="6"/>
        <v>Woensdag</v>
      </c>
      <c r="B17" s="226">
        <f t="shared" si="12"/>
        <v>46127</v>
      </c>
      <c r="C17" s="149"/>
      <c r="D17" s="149"/>
      <c r="E17" s="149"/>
      <c r="F17" s="149"/>
      <c r="G17" s="149"/>
      <c r="H17" s="79"/>
      <c r="I17" s="149"/>
      <c r="J17" s="188" t="str">
        <f t="shared" si="2"/>
        <v/>
      </c>
      <c r="K17" s="150">
        <f>IF(Basisgegevens!$F$1="JA",IF(D17="",0,(1-D17)+(E17)-G17),(E17-D17)-G17)</f>
        <v>0</v>
      </c>
      <c r="L17" s="44" t="str">
        <f t="shared" si="3"/>
        <v/>
      </c>
      <c r="M17" s="150">
        <f t="shared" si="7"/>
        <v>0</v>
      </c>
      <c r="N17" s="44" t="str">
        <f t="shared" si="1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4"/>
        <v>16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3"/>
        <v/>
      </c>
      <c r="AA17" s="209" t="str">
        <f t="shared" si="14"/>
        <v/>
      </c>
      <c r="AB17" s="209" t="str">
        <f t="shared" si="14"/>
        <v/>
      </c>
      <c r="AC17" s="205" t="str">
        <f t="shared" si="14"/>
        <v/>
      </c>
      <c r="AE17" s="4">
        <f t="shared" si="5"/>
        <v>0</v>
      </c>
    </row>
    <row r="18" spans="1:31" x14ac:dyDescent="0.25">
      <c r="A18" s="100" t="str">
        <f t="shared" si="6"/>
        <v>Donderdag</v>
      </c>
      <c r="B18" s="226">
        <f t="shared" si="12"/>
        <v>46128</v>
      </c>
      <c r="C18" s="149"/>
      <c r="D18" s="149"/>
      <c r="E18" s="149"/>
      <c r="F18" s="149"/>
      <c r="G18" s="149"/>
      <c r="H18" s="79"/>
      <c r="I18" s="149"/>
      <c r="J18" s="188" t="str">
        <f t="shared" si="2"/>
        <v/>
      </c>
      <c r="K18" s="150">
        <f>IF(Basisgegevens!$F$1="JA",IF(D18="",0,(1-D18)+(E18)-G18),(E18-D18)-G18)</f>
        <v>0</v>
      </c>
      <c r="L18" s="44" t="str">
        <f t="shared" si="3"/>
        <v/>
      </c>
      <c r="M18" s="150">
        <f t="shared" si="7"/>
        <v>0</v>
      </c>
      <c r="N18" s="44" t="str">
        <f t="shared" si="1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4"/>
        <v>16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5"/>
        <v>0</v>
      </c>
    </row>
    <row r="19" spans="1:31" x14ac:dyDescent="0.25">
      <c r="A19" s="100" t="str">
        <f t="shared" si="6"/>
        <v>Vrijdag</v>
      </c>
      <c r="B19" s="226">
        <f t="shared" si="12"/>
        <v>46129</v>
      </c>
      <c r="C19" s="149"/>
      <c r="D19" s="149"/>
      <c r="E19" s="149"/>
      <c r="F19" s="149"/>
      <c r="G19" s="149"/>
      <c r="H19" s="79"/>
      <c r="I19" s="149"/>
      <c r="J19" s="188" t="str">
        <f t="shared" si="2"/>
        <v/>
      </c>
      <c r="K19" s="150">
        <f>IF(Basisgegevens!$F$1="JA",IF(D19="",0,(1-D19)+(E19)-G19),(E19-D19)-G19)</f>
        <v>0</v>
      </c>
      <c r="L19" s="44" t="str">
        <f t="shared" si="3"/>
        <v/>
      </c>
      <c r="M19" s="150">
        <f t="shared" si="7"/>
        <v>0</v>
      </c>
      <c r="N19" s="44" t="str">
        <f t="shared" si="1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4"/>
        <v>16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5"/>
        <v>0</v>
      </c>
    </row>
    <row r="20" spans="1:31" x14ac:dyDescent="0.25">
      <c r="A20" s="100" t="str">
        <f t="shared" si="6"/>
        <v>Zaterdag</v>
      </c>
      <c r="B20" s="226">
        <f t="shared" si="12"/>
        <v>46130</v>
      </c>
      <c r="C20" s="149"/>
      <c r="D20" s="149"/>
      <c r="E20" s="149"/>
      <c r="F20" s="149"/>
      <c r="G20" s="149"/>
      <c r="H20" s="79"/>
      <c r="I20" s="149"/>
      <c r="J20" s="188" t="str">
        <f t="shared" si="2"/>
        <v/>
      </c>
      <c r="K20" s="150">
        <f>IF(Basisgegevens!$F$1="JA",IF(D20="",0,(1-D20)+(E20)-G20),(E20-D20)-G20)</f>
        <v>0</v>
      </c>
      <c r="L20" s="44" t="str">
        <f t="shared" si="3"/>
        <v/>
      </c>
      <c r="M20" s="150">
        <f t="shared" si="7"/>
        <v>0</v>
      </c>
      <c r="N20" s="44" t="str">
        <f t="shared" si="1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4"/>
        <v>16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5"/>
        <v>0</v>
      </c>
    </row>
    <row r="21" spans="1:31" x14ac:dyDescent="0.25">
      <c r="A21" s="100" t="str">
        <f t="shared" si="6"/>
        <v>Zondag</v>
      </c>
      <c r="B21" s="226">
        <f t="shared" si="12"/>
        <v>46131</v>
      </c>
      <c r="C21" s="149"/>
      <c r="D21" s="149"/>
      <c r="E21" s="149"/>
      <c r="F21" s="149"/>
      <c r="G21" s="149"/>
      <c r="H21" s="79"/>
      <c r="I21" s="149"/>
      <c r="J21" s="188" t="str">
        <f t="shared" si="2"/>
        <v/>
      </c>
      <c r="K21" s="150">
        <f>IF(Basisgegevens!$F$1="JA",IF(D21="",0,(1-D21)+(E21)-G21),(E21-D21)-G21)</f>
        <v>0</v>
      </c>
      <c r="L21" s="44" t="str">
        <f t="shared" si="3"/>
        <v/>
      </c>
      <c r="M21" s="150">
        <f t="shared" si="7"/>
        <v>0</v>
      </c>
      <c r="N21" s="44" t="str">
        <f t="shared" si="1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4"/>
        <v>16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5"/>
        <v>0</v>
      </c>
    </row>
    <row r="22" spans="1:31" x14ac:dyDescent="0.25">
      <c r="A22" s="100" t="str">
        <f t="shared" si="6"/>
        <v>Maandag</v>
      </c>
      <c r="B22" s="226">
        <f t="shared" si="12"/>
        <v>46132</v>
      </c>
      <c r="C22" s="149"/>
      <c r="D22" s="149"/>
      <c r="E22" s="149"/>
      <c r="F22" s="149"/>
      <c r="G22" s="149"/>
      <c r="H22" s="79"/>
      <c r="I22" s="149"/>
      <c r="J22" s="188" t="str">
        <f t="shared" si="2"/>
        <v/>
      </c>
      <c r="K22" s="150">
        <f>IF(Basisgegevens!$F$1="JA",IF(D22="",0,(1-D22)+(E22)-G22),(E22-D22)-G22)</f>
        <v>0</v>
      </c>
      <c r="L22" s="44" t="str">
        <f t="shared" si="3"/>
        <v/>
      </c>
      <c r="M22" s="150">
        <f t="shared" si="7"/>
        <v>0</v>
      </c>
      <c r="N22" s="44" t="str">
        <f t="shared" si="1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4"/>
        <v>17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5"/>
        <v>0</v>
      </c>
    </row>
    <row r="23" spans="1:31" x14ac:dyDescent="0.25">
      <c r="A23" s="100" t="str">
        <f t="shared" si="6"/>
        <v>Dinsdag</v>
      </c>
      <c r="B23" s="226">
        <f t="shared" si="12"/>
        <v>46133</v>
      </c>
      <c r="C23" s="149"/>
      <c r="D23" s="149"/>
      <c r="E23" s="149"/>
      <c r="F23" s="149"/>
      <c r="G23" s="149"/>
      <c r="H23" s="79"/>
      <c r="I23" s="149"/>
      <c r="J23" s="188" t="str">
        <f t="shared" si="2"/>
        <v/>
      </c>
      <c r="K23" s="150">
        <f>IF(Basisgegevens!$F$1="JA",IF(D23="",0,(1-D23)+(E23)-G23),(E23-D23)-G23)</f>
        <v>0</v>
      </c>
      <c r="L23" s="44" t="str">
        <f t="shared" si="3"/>
        <v/>
      </c>
      <c r="M23" s="150">
        <f t="shared" si="7"/>
        <v>0</v>
      </c>
      <c r="N23" s="44" t="str">
        <f t="shared" si="1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4"/>
        <v>17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5"/>
        <v>0</v>
      </c>
    </row>
    <row r="24" spans="1:31" x14ac:dyDescent="0.25">
      <c r="A24" s="100" t="str">
        <f t="shared" si="6"/>
        <v>Woensdag</v>
      </c>
      <c r="B24" s="226">
        <f t="shared" si="12"/>
        <v>46134</v>
      </c>
      <c r="C24" s="149"/>
      <c r="D24" s="149"/>
      <c r="E24" s="149"/>
      <c r="F24" s="149"/>
      <c r="G24" s="149"/>
      <c r="H24" s="79"/>
      <c r="I24" s="149"/>
      <c r="J24" s="188" t="str">
        <f t="shared" si="2"/>
        <v/>
      </c>
      <c r="K24" s="150">
        <f>IF(Basisgegevens!$F$1="JA",IF(D24="",0,(1-D24)+(E24)-G24),(E24-D24)-G24)</f>
        <v>0</v>
      </c>
      <c r="L24" s="44" t="str">
        <f t="shared" si="3"/>
        <v/>
      </c>
      <c r="M24" s="150">
        <f t="shared" si="7"/>
        <v>0</v>
      </c>
      <c r="N24" s="44" t="str">
        <f t="shared" si="1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4"/>
        <v>17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5"/>
        <v>0</v>
      </c>
    </row>
    <row r="25" spans="1:31" x14ac:dyDescent="0.25">
      <c r="A25" s="100" t="str">
        <f t="shared" si="6"/>
        <v>Donderdag</v>
      </c>
      <c r="B25" s="226">
        <f t="shared" si="12"/>
        <v>46135</v>
      </c>
      <c r="C25" s="149"/>
      <c r="D25" s="149"/>
      <c r="E25" s="149"/>
      <c r="F25" s="149"/>
      <c r="G25" s="149"/>
      <c r="H25" s="79"/>
      <c r="I25" s="149"/>
      <c r="J25" s="188" t="str">
        <f t="shared" si="2"/>
        <v/>
      </c>
      <c r="K25" s="150">
        <f>IF(Basisgegevens!$F$1="JA",IF(D25="",0,(1-D25)+(E25)-G25),(E25-D25)-G25)</f>
        <v>0</v>
      </c>
      <c r="L25" s="44" t="str">
        <f t="shared" si="3"/>
        <v/>
      </c>
      <c r="M25" s="150">
        <f t="shared" si="7"/>
        <v>0</v>
      </c>
      <c r="N25" s="44" t="str">
        <f t="shared" si="1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4"/>
        <v>17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5"/>
        <v>0</v>
      </c>
    </row>
    <row r="26" spans="1:31" x14ac:dyDescent="0.25">
      <c r="A26" s="100" t="str">
        <f t="shared" si="6"/>
        <v>Vrijdag</v>
      </c>
      <c r="B26" s="226">
        <f t="shared" si="12"/>
        <v>46136</v>
      </c>
      <c r="C26" s="149"/>
      <c r="D26" s="149"/>
      <c r="E26" s="149"/>
      <c r="F26" s="149"/>
      <c r="G26" s="149"/>
      <c r="H26" s="79"/>
      <c r="I26" s="149"/>
      <c r="J26" s="188" t="str">
        <f t="shared" si="2"/>
        <v/>
      </c>
      <c r="K26" s="150">
        <f>IF(Basisgegevens!$F$1="JA",IF(D26="",0,(1-D26)+(E26)-G26),(E26-D26)-G26)</f>
        <v>0</v>
      </c>
      <c r="L26" s="44" t="str">
        <f t="shared" si="3"/>
        <v/>
      </c>
      <c r="M26" s="150">
        <f t="shared" si="7"/>
        <v>0</v>
      </c>
      <c r="N26" s="44" t="str">
        <f t="shared" si="1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4"/>
        <v>17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5"/>
        <v>0</v>
      </c>
    </row>
    <row r="27" spans="1:31" x14ac:dyDescent="0.25">
      <c r="A27" s="100" t="str">
        <f t="shared" si="6"/>
        <v>Zaterdag</v>
      </c>
      <c r="B27" s="226">
        <f t="shared" si="12"/>
        <v>46137</v>
      </c>
      <c r="C27" s="149"/>
      <c r="D27" s="149"/>
      <c r="E27" s="149"/>
      <c r="F27" s="149"/>
      <c r="G27" s="149"/>
      <c r="H27" s="79"/>
      <c r="I27" s="149"/>
      <c r="J27" s="188" t="str">
        <f t="shared" si="2"/>
        <v/>
      </c>
      <c r="K27" s="150">
        <f>IF(Basisgegevens!$F$1="JA",IF(D27="",0,(1-D27)+(E27)-G27),(E27-D27)-G27)</f>
        <v>0</v>
      </c>
      <c r="L27" s="44" t="str">
        <f t="shared" si="3"/>
        <v/>
      </c>
      <c r="M27" s="150">
        <f t="shared" si="7"/>
        <v>0</v>
      </c>
      <c r="N27" s="44" t="str">
        <f t="shared" si="1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4"/>
        <v>17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5"/>
        <v>0</v>
      </c>
    </row>
    <row r="28" spans="1:31" x14ac:dyDescent="0.25">
      <c r="A28" s="100" t="str">
        <f t="shared" si="6"/>
        <v>Zondag</v>
      </c>
      <c r="B28" s="226">
        <f t="shared" si="12"/>
        <v>46138</v>
      </c>
      <c r="C28" s="149"/>
      <c r="D28" s="149"/>
      <c r="E28" s="149"/>
      <c r="F28" s="149"/>
      <c r="G28" s="149"/>
      <c r="H28" s="79"/>
      <c r="I28" s="149"/>
      <c r="J28" s="188" t="str">
        <f t="shared" si="2"/>
        <v/>
      </c>
      <c r="K28" s="150">
        <f>IF(Basisgegevens!$F$1="JA",IF(D28="",0,(1-D28)+(E28)-G28),(E28-D28)-G28)</f>
        <v>0</v>
      </c>
      <c r="L28" s="44" t="str">
        <f t="shared" si="3"/>
        <v/>
      </c>
      <c r="M28" s="150">
        <f t="shared" si="7"/>
        <v>0</v>
      </c>
      <c r="N28" s="44" t="str">
        <f t="shared" si="1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4"/>
        <v>17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5"/>
        <v>0</v>
      </c>
    </row>
    <row r="29" spans="1:31" x14ac:dyDescent="0.25">
      <c r="A29" s="100" t="str">
        <f t="shared" si="6"/>
        <v>Maandag</v>
      </c>
      <c r="B29" s="226">
        <f t="shared" si="12"/>
        <v>46139</v>
      </c>
      <c r="C29" s="149"/>
      <c r="D29" s="149"/>
      <c r="E29" s="149"/>
      <c r="F29" s="149"/>
      <c r="G29" s="149"/>
      <c r="H29" s="79"/>
      <c r="I29" s="149"/>
      <c r="J29" s="188" t="str">
        <f t="shared" si="2"/>
        <v/>
      </c>
      <c r="K29" s="150">
        <f>IF(Basisgegevens!$F$1="JA",IF(D29="",0,(1-D29)+(E29)-G29),(E29-D29)-G29)</f>
        <v>0</v>
      </c>
      <c r="L29" s="44" t="str">
        <f t="shared" si="3"/>
        <v/>
      </c>
      <c r="M29" s="150">
        <f t="shared" si="7"/>
        <v>0</v>
      </c>
      <c r="N29" s="44" t="str">
        <f t="shared" si="1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4"/>
        <v>18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5"/>
        <v>0</v>
      </c>
    </row>
    <row r="30" spans="1:31" x14ac:dyDescent="0.25">
      <c r="A30" s="100" t="str">
        <f t="shared" si="6"/>
        <v>Dinsdag</v>
      </c>
      <c r="B30" s="226">
        <f t="shared" si="12"/>
        <v>46140</v>
      </c>
      <c r="C30" s="149"/>
      <c r="D30" s="149"/>
      <c r="E30" s="149"/>
      <c r="F30" s="149"/>
      <c r="G30" s="149"/>
      <c r="H30" s="79"/>
      <c r="I30" s="149"/>
      <c r="J30" s="188" t="str">
        <f t="shared" si="2"/>
        <v/>
      </c>
      <c r="K30" s="150">
        <f>IF(Basisgegevens!$F$1="JA",IF(D30="",0,(1-D30)+(E30)-G30),(E30-D30)-G30)</f>
        <v>0</v>
      </c>
      <c r="L30" s="44" t="str">
        <f t="shared" si="3"/>
        <v/>
      </c>
      <c r="M30" s="150">
        <f t="shared" si="7"/>
        <v>0</v>
      </c>
      <c r="N30" s="44" t="str">
        <f t="shared" si="1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4"/>
        <v>18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5"/>
        <v>0</v>
      </c>
    </row>
    <row r="31" spans="1:31" x14ac:dyDescent="0.25">
      <c r="A31" s="100" t="str">
        <f t="shared" si="6"/>
        <v>Woensdag</v>
      </c>
      <c r="B31" s="226">
        <f t="shared" si="12"/>
        <v>46141</v>
      </c>
      <c r="C31" s="149"/>
      <c r="D31" s="149"/>
      <c r="E31" s="149"/>
      <c r="F31" s="149"/>
      <c r="G31" s="149"/>
      <c r="H31" s="79"/>
      <c r="I31" s="149"/>
      <c r="J31" s="188" t="str">
        <f t="shared" si="2"/>
        <v/>
      </c>
      <c r="K31" s="150">
        <f>IF(Basisgegevens!$F$1="JA",IF(D31="",0,(1-D31)+(E31)-G31),(E31-D31)-G31)</f>
        <v>0</v>
      </c>
      <c r="L31" s="44" t="str">
        <f t="shared" si="3"/>
        <v/>
      </c>
      <c r="M31" s="150">
        <f t="shared" si="7"/>
        <v>0</v>
      </c>
      <c r="N31" s="44" t="str">
        <f t="shared" si="1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4"/>
        <v>18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5"/>
        <v>0</v>
      </c>
    </row>
    <row r="32" spans="1:31" x14ac:dyDescent="0.25">
      <c r="A32" s="100" t="str">
        <f t="shared" si="6"/>
        <v>Donderdag</v>
      </c>
      <c r="B32" s="226">
        <f t="shared" si="12"/>
        <v>46142</v>
      </c>
      <c r="C32" s="149"/>
      <c r="D32" s="149"/>
      <c r="E32" s="149"/>
      <c r="F32" s="149"/>
      <c r="G32" s="149"/>
      <c r="H32" s="79"/>
      <c r="I32" s="149"/>
      <c r="J32" s="188" t="str">
        <f t="shared" si="2"/>
        <v/>
      </c>
      <c r="K32" s="150">
        <f>IF(Basisgegevens!$F$1="JA",IF(D32="",0,(1-D32)+(E32)-G32),(E32-D32)-G32)</f>
        <v>0</v>
      </c>
      <c r="L32" s="44" t="str">
        <f t="shared" si="3"/>
        <v/>
      </c>
      <c r="M32" s="150">
        <f t="shared" si="7"/>
        <v>0</v>
      </c>
      <c r="N32" s="44" t="str">
        <f t="shared" si="1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4"/>
        <v>18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5"/>
        <v>0</v>
      </c>
    </row>
    <row r="33" spans="1:31" x14ac:dyDescent="0.25">
      <c r="A33" s="2"/>
      <c r="B33" s="8"/>
      <c r="C33" s="8"/>
      <c r="D33" s="5"/>
      <c r="E33" s="5"/>
      <c r="F33" s="5"/>
      <c r="G33" s="5"/>
      <c r="H33" s="8"/>
      <c r="I33" s="5"/>
      <c r="J33" s="188"/>
      <c r="K33" s="3"/>
      <c r="L33" s="40"/>
      <c r="M33" s="150"/>
      <c r="N33" s="44" t="str">
        <f t="shared" si="1"/>
        <v/>
      </c>
      <c r="O33" s="3"/>
      <c r="P33" s="6"/>
      <c r="Q33" s="7"/>
      <c r="U33" s="41"/>
      <c r="W33" s="230"/>
      <c r="Z33" s="309"/>
      <c r="AA33" s="309"/>
      <c r="AB33" s="309"/>
      <c r="AC33" s="309"/>
    </row>
    <row r="34" spans="1:31" ht="15" customHeight="1" x14ac:dyDescent="0.25">
      <c r="A34" s="14"/>
      <c r="B34" s="8"/>
      <c r="C34" s="8"/>
      <c r="D34" s="5"/>
      <c r="E34" s="5"/>
      <c r="F34" s="5"/>
      <c r="H34" s="8"/>
      <c r="I34" s="77" t="s">
        <v>15</v>
      </c>
      <c r="K34" s="17">
        <f t="shared" ref="K34:Y34" si="15">SUM(K3:K32)</f>
        <v>0</v>
      </c>
      <c r="L34" s="98">
        <f t="shared" si="15"/>
        <v>0</v>
      </c>
      <c r="M34" s="89">
        <f t="shared" ref="M34:N34" si="16">SUM(M3:M33)</f>
        <v>0</v>
      </c>
      <c r="N34" s="76">
        <f t="shared" si="16"/>
        <v>0</v>
      </c>
      <c r="O34" s="17">
        <f t="shared" si="15"/>
        <v>0</v>
      </c>
      <c r="P34" s="15">
        <f t="shared" si="15"/>
        <v>0</v>
      </c>
      <c r="Q34" s="16">
        <f t="shared" si="15"/>
        <v>0</v>
      </c>
      <c r="R34" s="155">
        <f t="shared" si="15"/>
        <v>0</v>
      </c>
      <c r="S34" s="155">
        <f t="shared" ref="S34" si="17">SUM(S3:S32)</f>
        <v>0</v>
      </c>
      <c r="T34" s="31"/>
      <c r="V34" s="31"/>
      <c r="W34" s="233"/>
      <c r="X34" s="32">
        <f t="shared" si="15"/>
        <v>0</v>
      </c>
      <c r="Y34" s="32">
        <f t="shared" si="15"/>
        <v>0</v>
      </c>
      <c r="Z34" s="309"/>
      <c r="AA34" s="309"/>
      <c r="AB34" s="309"/>
      <c r="AC34" s="309"/>
      <c r="AE34" s="4">
        <f>SUM(AE3:AE32)</f>
        <v>0</v>
      </c>
    </row>
    <row r="35" spans="1:3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190"/>
      <c r="K35" s="41"/>
      <c r="L35" s="99"/>
      <c r="M35" s="306" t="s">
        <v>112</v>
      </c>
      <c r="N35" s="307"/>
      <c r="O35" s="41"/>
      <c r="P35" s="88"/>
      <c r="Q35" s="43"/>
      <c r="R35" s="293">
        <f>R34+S34</f>
        <v>0</v>
      </c>
      <c r="S35" s="294"/>
      <c r="T35" s="41"/>
      <c r="U35" s="141"/>
      <c r="V35" s="41"/>
      <c r="W35" s="232"/>
      <c r="X35" s="41"/>
      <c r="Y35" s="41"/>
      <c r="Z35" s="309"/>
      <c r="AA35" s="309"/>
      <c r="AB35" s="309"/>
      <c r="AC35" s="309"/>
    </row>
    <row r="36" spans="1:31" x14ac:dyDescent="0.25">
      <c r="A36" s="41"/>
      <c r="B36" s="41"/>
      <c r="C36" s="41"/>
      <c r="D36" s="41"/>
      <c r="E36" s="41"/>
      <c r="F36" s="41"/>
      <c r="G36" s="80"/>
      <c r="H36" s="41"/>
      <c r="I36" s="41"/>
      <c r="K36" s="41"/>
      <c r="L36" s="79"/>
      <c r="M36" s="292" t="s">
        <v>111</v>
      </c>
      <c r="N36" s="292"/>
      <c r="O36" s="84"/>
      <c r="P36" s="84"/>
      <c r="Q36" s="80"/>
      <c r="R36" s="293"/>
      <c r="S36" s="294"/>
      <c r="T36" s="41"/>
      <c r="V36" s="41"/>
      <c r="W36" s="232"/>
      <c r="X36" s="41"/>
      <c r="Y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41"/>
      <c r="F37" s="41"/>
      <c r="G37" s="80"/>
      <c r="H37" s="41"/>
      <c r="I37" s="41"/>
      <c r="K37" s="80"/>
      <c r="L37" s="79"/>
      <c r="M37" s="292" t="s">
        <v>113</v>
      </c>
      <c r="N37" s="292"/>
      <c r="O37" s="86"/>
      <c r="P37" s="86"/>
      <c r="Q37" s="80"/>
      <c r="R37" s="293">
        <f>((R35*Basisgegevens!D44)-(R36*Basisgegevens!D47))/Basisgegevens!D44</f>
        <v>0</v>
      </c>
      <c r="S37" s="294"/>
      <c r="T37" s="41"/>
      <c r="V37" s="41"/>
      <c r="W37" s="232"/>
      <c r="X37" s="41"/>
      <c r="Y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41"/>
      <c r="F38" s="41"/>
      <c r="G38" s="80"/>
      <c r="H38" s="41"/>
      <c r="I38" s="41"/>
      <c r="K38" s="41"/>
      <c r="L38" s="79"/>
      <c r="M38" s="4"/>
      <c r="O38" s="41"/>
      <c r="P38" s="88"/>
      <c r="Q38" s="43"/>
      <c r="R38" s="46"/>
      <c r="S38" s="46"/>
      <c r="T38" s="41"/>
      <c r="V38" s="41"/>
      <c r="W38" s="41"/>
      <c r="X38" s="41"/>
      <c r="Y38" s="41"/>
      <c r="Z38" s="41"/>
      <c r="AA38" s="41"/>
      <c r="AB38" s="41"/>
      <c r="AC38" s="41"/>
    </row>
    <row r="39" spans="1:31" x14ac:dyDescent="0.25">
      <c r="A39" s="41"/>
      <c r="B39" s="41"/>
      <c r="C39" s="41"/>
      <c r="D39" s="41"/>
      <c r="E39" s="41"/>
      <c r="F39" s="41"/>
      <c r="G39" s="41"/>
      <c r="H39" s="41"/>
      <c r="I39" s="41"/>
      <c r="K39" s="41"/>
      <c r="L39" s="43"/>
      <c r="O39" s="41"/>
      <c r="P39" s="88"/>
      <c r="Q39" s="43"/>
      <c r="R39" s="46"/>
      <c r="S39" s="46"/>
      <c r="T39" s="41"/>
      <c r="V39" s="41"/>
      <c r="W39" s="41"/>
      <c r="X39" s="41"/>
      <c r="Y39" s="41"/>
      <c r="Z39" s="41"/>
      <c r="AA39" s="41"/>
      <c r="AB39" s="41"/>
      <c r="AC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79"/>
      <c r="O40" s="41"/>
      <c r="P40" s="41"/>
      <c r="Q40" s="41"/>
      <c r="R40" s="46"/>
      <c r="S40" s="46"/>
      <c r="T40" s="41"/>
      <c r="V40" s="41"/>
      <c r="W40" s="41"/>
      <c r="X40" s="41"/>
      <c r="Y40" s="41"/>
      <c r="Z40" s="41"/>
      <c r="AA40" s="41"/>
      <c r="AB40" s="41"/>
      <c r="AC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8"/>
      <c r="O41" s="41"/>
      <c r="P41" s="88"/>
      <c r="Q41" s="43"/>
      <c r="R41" s="46"/>
      <c r="S41" s="46"/>
      <c r="T41" s="41"/>
      <c r="V41" s="41"/>
      <c r="W41" s="41"/>
      <c r="X41" s="41"/>
      <c r="Y41" s="41"/>
      <c r="Z41" s="41"/>
      <c r="AA41" s="41"/>
      <c r="AB41" s="41"/>
      <c r="AC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43"/>
      <c r="O42" s="41"/>
      <c r="P42" s="88"/>
      <c r="Q42" s="43"/>
      <c r="R42" s="46"/>
      <c r="S42" s="46"/>
      <c r="T42" s="41"/>
      <c r="V42" s="41"/>
      <c r="W42" s="41"/>
      <c r="X42" s="41"/>
      <c r="Y42" s="41"/>
      <c r="Z42" s="41"/>
      <c r="AA42" s="41"/>
      <c r="AB42" s="41"/>
      <c r="AC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M43" s="4"/>
      <c r="O43" s="41"/>
      <c r="P43" s="41"/>
      <c r="Q43" s="43"/>
      <c r="R43" s="46"/>
      <c r="S43" s="46"/>
      <c r="T43" s="41"/>
      <c r="V43" s="41"/>
      <c r="W43" s="41"/>
      <c r="X43" s="41"/>
      <c r="Y43" s="41"/>
      <c r="Z43" s="41"/>
      <c r="AA43" s="41"/>
      <c r="AB43" s="41"/>
      <c r="AC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41"/>
      <c r="V44" s="41"/>
      <c r="W44" s="41"/>
      <c r="X44" s="41"/>
      <c r="Y44" s="41"/>
      <c r="Z44" s="41"/>
      <c r="AA44" s="41"/>
      <c r="AB44" s="41"/>
      <c r="AC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O45" s="41"/>
      <c r="P45" s="88"/>
      <c r="Q45" s="43"/>
      <c r="R45" s="46"/>
      <c r="S45" s="46"/>
      <c r="T45" s="41"/>
      <c r="V45" s="41"/>
      <c r="W45" s="41"/>
      <c r="X45" s="41"/>
      <c r="Y45" s="41"/>
      <c r="Z45" s="41"/>
      <c r="AA45" s="41"/>
      <c r="AB45" s="41"/>
      <c r="AC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41"/>
      <c r="V46" s="41"/>
      <c r="W46" s="41"/>
      <c r="X46" s="41"/>
      <c r="Y46" s="41"/>
      <c r="Z46" s="41"/>
      <c r="AA46" s="41"/>
      <c r="AB46" s="41"/>
      <c r="AC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41"/>
      <c r="V47" s="41"/>
      <c r="W47" s="41"/>
      <c r="X47" s="41"/>
      <c r="Y47" s="41"/>
      <c r="Z47" s="41"/>
      <c r="AA47" s="41"/>
      <c r="AB47" s="41"/>
      <c r="AC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41"/>
      <c r="V48" s="41"/>
      <c r="W48" s="41"/>
      <c r="X48" s="41"/>
      <c r="Y48" s="41"/>
      <c r="Z48" s="41"/>
      <c r="AA48" s="41"/>
      <c r="AB48" s="41"/>
      <c r="AC48" s="41"/>
    </row>
    <row r="49" spans="1:29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41"/>
      <c r="V49" s="41"/>
      <c r="W49" s="41"/>
      <c r="X49" s="41"/>
      <c r="Y49" s="41"/>
      <c r="Z49" s="41"/>
      <c r="AA49" s="41"/>
      <c r="AB49" s="41"/>
      <c r="AC49" s="41"/>
    </row>
    <row r="50" spans="1:29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41"/>
      <c r="V50" s="41"/>
      <c r="W50" s="41"/>
      <c r="X50" s="41"/>
      <c r="Y50" s="41"/>
      <c r="Z50" s="41"/>
      <c r="AA50" s="41"/>
      <c r="AB50" s="41"/>
      <c r="AC50" s="41"/>
    </row>
    <row r="51" spans="1:29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41"/>
      <c r="V51" s="41"/>
      <c r="W51" s="41"/>
      <c r="X51" s="41"/>
      <c r="Y51" s="41"/>
      <c r="Z51" s="41"/>
      <c r="AA51" s="41"/>
      <c r="AB51" s="41"/>
      <c r="AC51" s="41"/>
    </row>
    <row r="52" spans="1:29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41"/>
      <c r="V52" s="41"/>
      <c r="W52" s="41"/>
      <c r="X52" s="41"/>
      <c r="Y52" s="41"/>
      <c r="Z52" s="41"/>
      <c r="AA52" s="41"/>
      <c r="AB52" s="41"/>
      <c r="AC52" s="41"/>
    </row>
    <row r="53" spans="1:29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41"/>
      <c r="V53" s="41"/>
      <c r="W53" s="41"/>
      <c r="X53" s="41"/>
      <c r="Y53" s="41"/>
      <c r="Z53" s="41"/>
      <c r="AA53" s="41"/>
      <c r="AB53" s="41"/>
      <c r="AC53" s="41"/>
    </row>
    <row r="54" spans="1:29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41"/>
      <c r="V54" s="41"/>
      <c r="W54" s="41"/>
      <c r="X54" s="41"/>
      <c r="Y54" s="41"/>
      <c r="Z54" s="41"/>
      <c r="AA54" s="41"/>
      <c r="AB54" s="41"/>
      <c r="AC54" s="41"/>
    </row>
    <row r="55" spans="1:29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41"/>
      <c r="V55" s="41"/>
      <c r="W55" s="41"/>
      <c r="X55" s="41"/>
      <c r="Y55" s="41"/>
      <c r="Z55" s="41"/>
      <c r="AA55" s="41"/>
      <c r="AB55" s="41"/>
      <c r="AC55" s="41"/>
    </row>
    <row r="65536" spans="7:7" x14ac:dyDescent="0.25">
      <c r="G65536" s="5"/>
    </row>
  </sheetData>
  <mergeCells count="17">
    <mergeCell ref="W1:W2"/>
    <mergeCell ref="Z18:AC37"/>
    <mergeCell ref="U1:U2"/>
    <mergeCell ref="M36:N36"/>
    <mergeCell ref="M37:N37"/>
    <mergeCell ref="R36:S36"/>
    <mergeCell ref="R37:S37"/>
    <mergeCell ref="A1:B2"/>
    <mergeCell ref="C1:G1"/>
    <mergeCell ref="T1:T2"/>
    <mergeCell ref="V1:V2"/>
    <mergeCell ref="M35:N35"/>
    <mergeCell ref="K1:L1"/>
    <mergeCell ref="H1:I1"/>
    <mergeCell ref="R35:S35"/>
    <mergeCell ref="J1:J2"/>
    <mergeCell ref="M1:N1"/>
  </mergeCells>
  <phoneticPr fontId="0" type="noConversion"/>
  <conditionalFormatting sqref="A3:W32">
    <cfRule type="expression" dxfId="23" priority="1" stopIfTrue="1">
      <formula>WEEKDAY($B3)=7</formula>
    </cfRule>
    <cfRule type="expression" dxfId="22" priority="2" stopIfTrue="1">
      <formula>WEEKDAY($B3)=1</formula>
    </cfRule>
  </conditionalFormatting>
  <dataValidations count="1">
    <dataValidation type="list" allowBlank="1" sqref="H3:H32" xr:uid="{00000000-0002-0000-03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6">
    <pageSetUpPr fitToPage="1"/>
  </sheetPr>
  <dimension ref="A1:AE45"/>
  <sheetViews>
    <sheetView zoomScaleNormal="100" workbookViewId="0">
      <pane ySplit="2" topLeftCell="A3" activePane="bottomLeft" state="frozen"/>
      <selection activeCell="F48" sqref="F48"/>
      <selection pane="bottomLeft" activeCell="H18" sqref="H18:H19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.125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3" si="0">IF(WEEKDAY(B3)=1,"Zondag",IF(WEEKDAY(B3)=2,"Maandag",IF(WEEKDAY(B3)=3,"Dinsdag",IF(WEEKDAY(B3)=4,"Woensdag",IF(WEEKDAY(B3)=5,"Donderdag",IF(WEEKDAY(B3)=6,"Vrijdag","Zaterdag"))))))</f>
        <v>Vrijdag</v>
      </c>
      <c r="B3" s="226">
        <f>Apr!B32+1</f>
        <v>46143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>FD</v>
      </c>
      <c r="W3" s="220">
        <f>IF(WEEKDAY(B3)=1,(WEEKNUM(DATE(YEAR(B3),MONTH(B3),DAY(B3)),)-1),WEEKNUM(DATE(YEAR(B3),MONTH(B3),DAY(B3)),))</f>
        <v>18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Zaterdag</v>
      </c>
      <c r="B4" s="226">
        <f t="shared" ref="B4:B32" si="3">B3+1</f>
        <v>46144</v>
      </c>
      <c r="C4" s="149"/>
      <c r="D4" s="149"/>
      <c r="E4" s="149"/>
      <c r="F4" s="149"/>
      <c r="G4" s="149"/>
      <c r="H4" s="79"/>
      <c r="I4" s="149"/>
      <c r="J4" s="188" t="str">
        <f t="shared" ref="J4:J33" si="4">IF(I4="","",IF(HOUR(I4)&lt;5,0.5,1))</f>
        <v/>
      </c>
      <c r="K4" s="150">
        <f>IF(Basisgegevens!$F$1="JA",IF(D4="",0,(1-D4)+(E4)-G4),(E4-D4)-G4)</f>
        <v>0</v>
      </c>
      <c r="L4" s="44" t="str">
        <f t="shared" ref="L4:L33" si="5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3" si="6">IF(WEEKDAY(B4)=1,(WEEKNUM(DATE(YEAR(B4),MONTH(B4),DAY(B4)),)-1),WEEKNUM(DATE(YEAR(B4),MONTH(B4),DAY(B4)),))</f>
        <v>18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LOOKUP(SMALL(W3:W33,1),W3:W33,W3:W33)</f>
        <v>18</v>
      </c>
      <c r="AA4" s="165">
        <f>IF($Z4="","",SUMIFS($K$3:$K$33,$W$3:$W$33,$Z4,$A$3:$A$33,"&lt;&gt;Zaterdag",$A$3:$A$33,"&lt;&gt;Zondag"))</f>
        <v>0</v>
      </c>
      <c r="AB4" s="199">
        <f>IF(Z4="","",SUMIFS(K$3:K$33,W$3:W$33,Z4,A$3:A$33,"&lt;&gt;Zaterdag",A$3:A$33,"&lt;&gt;Zondag")+SUMIFS(I$3:I$33,W$3:W$33,Z4,A$3:A$33,"&lt;&gt;Zaterdag",A$3:A$33,"&lt;&gt;Zondag"))</f>
        <v>0</v>
      </c>
      <c r="AC4" s="167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7">IF(L4="",0,IF(L4&gt;=5,1,0))</f>
        <v>0</v>
      </c>
    </row>
    <row r="5" spans="1:31" x14ac:dyDescent="0.25">
      <c r="A5" s="100" t="str">
        <f t="shared" si="0"/>
        <v>Zondag</v>
      </c>
      <c r="B5" s="226">
        <f t="shared" si="3"/>
        <v>46145</v>
      </c>
      <c r="C5" s="149"/>
      <c r="D5" s="149"/>
      <c r="E5" s="149"/>
      <c r="F5" s="149"/>
      <c r="G5" s="149"/>
      <c r="H5" s="79"/>
      <c r="I5" s="149"/>
      <c r="J5" s="188" t="str">
        <f t="shared" si="4"/>
        <v/>
      </c>
      <c r="K5" s="150">
        <f>IF(Basisgegevens!$F$1="JA",IF(D5="",0,(1-D5)+(E5)-G5),(E5-D5)-G5)</f>
        <v>0</v>
      </c>
      <c r="L5" s="44" t="str">
        <f t="shared" si="5"/>
        <v/>
      </c>
      <c r="M5" s="150">
        <f t="shared" ref="M5:M33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6"/>
        <v>18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19</v>
      </c>
      <c r="AA5" s="165">
        <f t="shared" ref="AA5:AA9" si="9">IF($Z5="","",SUMIFS($K$3:$K$33,$W$3:$W$33,$Z5,$A$3:$A$33,"&lt;&gt;Zaterdag",$A$3:$A$33,"&lt;&gt;Zondag"))</f>
        <v>0</v>
      </c>
      <c r="AB5" s="200">
        <f t="shared" ref="AB5:AB9" si="10">IF(Z5="","",SUMIFS(K$3:K$33,W$3:W$33,Z5,A$3:A$33,"&lt;&gt;Zaterdag",A$3:A$33,"&lt;&gt;Zondag")+SUMIFS(I$3:I$33,W$3:W$33,Z5,A$3:A$33,"&lt;&gt;Zaterdag",A$3:A$33,"&lt;&gt;Zondag"))</f>
        <v>0</v>
      </c>
      <c r="AC5" s="168">
        <f>IF($Z5="","",SUMIFS($M$3:$M$33,$W$3:$W$33,$Z5,$A$3:$A$33,"&lt;&gt;Zaterdag",$A$3:$A$33,"&lt;&gt;Zondag"))</f>
        <v>0</v>
      </c>
      <c r="AD5" s="238">
        <f t="shared" ref="AD5:AD9" si="11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7"/>
        <v>0</v>
      </c>
    </row>
    <row r="6" spans="1:31" x14ac:dyDescent="0.25">
      <c r="A6" s="100" t="str">
        <f t="shared" si="0"/>
        <v>Maandag</v>
      </c>
      <c r="B6" s="226">
        <f t="shared" si="3"/>
        <v>46146</v>
      </c>
      <c r="C6" s="149"/>
      <c r="D6" s="149"/>
      <c r="E6" s="149"/>
      <c r="F6" s="149"/>
      <c r="G6" s="149"/>
      <c r="H6" s="79"/>
      <c r="I6" s="149"/>
      <c r="J6" s="188" t="str">
        <f t="shared" si="4"/>
        <v/>
      </c>
      <c r="K6" s="150">
        <f>IF(Basisgegevens!$F$1="JA",IF(D6="",0,(1-D6)+(E6)-G6),(E6-D6)-G6)</f>
        <v>0</v>
      </c>
      <c r="L6" s="44" t="str">
        <f t="shared" si="5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6"/>
        <v>19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 t="shared" ref="Z6:Z9" si="12">IF(W$33=Z5,"",Z5+1)</f>
        <v>20</v>
      </c>
      <c r="AA6" s="165">
        <f t="shared" si="9"/>
        <v>0</v>
      </c>
      <c r="AB6" s="200">
        <f t="shared" si="10"/>
        <v>0</v>
      </c>
      <c r="AC6" s="168">
        <f t="shared" ref="AC6:AC9" si="13">IF($Z6="","",SUMIFS($M$3:$M$33,$W$3:$W$33,$Z6,$A$3:$A$33,"&lt;&gt;Zaterdag",$A$3:$A$33,"&lt;&gt;Zondag"))</f>
        <v>0</v>
      </c>
      <c r="AD6" s="238">
        <f t="shared" si="11"/>
        <v>0</v>
      </c>
      <c r="AE6" s="4">
        <f t="shared" si="7"/>
        <v>0</v>
      </c>
    </row>
    <row r="7" spans="1:31" ht="16.5" customHeight="1" x14ac:dyDescent="0.25">
      <c r="A7" s="100" t="str">
        <f t="shared" si="0"/>
        <v>Dinsdag</v>
      </c>
      <c r="B7" s="226">
        <f t="shared" si="3"/>
        <v>46147</v>
      </c>
      <c r="C7" s="149"/>
      <c r="D7" s="149"/>
      <c r="E7" s="149"/>
      <c r="F7" s="149"/>
      <c r="G7" s="149"/>
      <c r="H7" s="79"/>
      <c r="I7" s="149"/>
      <c r="J7" s="188" t="str">
        <f t="shared" si="4"/>
        <v/>
      </c>
      <c r="K7" s="150">
        <f>IF(Basisgegevens!$F$1="JA",IF(D7="",0,(1-D7)+(E7)-G7),(E7-D7)-G7)</f>
        <v>0</v>
      </c>
      <c r="L7" s="44" t="str">
        <f t="shared" si="5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6"/>
        <v>19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 t="shared" si="12"/>
        <v>21</v>
      </c>
      <c r="AA7" s="165">
        <f t="shared" si="9"/>
        <v>0</v>
      </c>
      <c r="AB7" s="200">
        <f t="shared" si="10"/>
        <v>0</v>
      </c>
      <c r="AC7" s="168">
        <f t="shared" si="13"/>
        <v>0</v>
      </c>
      <c r="AD7" s="238">
        <f t="shared" si="11"/>
        <v>0</v>
      </c>
      <c r="AE7" s="4">
        <f t="shared" si="7"/>
        <v>0</v>
      </c>
    </row>
    <row r="8" spans="1:31" x14ac:dyDescent="0.25">
      <c r="A8" s="100" t="str">
        <f t="shared" si="0"/>
        <v>Woensdag</v>
      </c>
      <c r="B8" s="226">
        <f t="shared" si="3"/>
        <v>46148</v>
      </c>
      <c r="C8" s="149"/>
      <c r="D8" s="149"/>
      <c r="E8" s="149"/>
      <c r="F8" s="149"/>
      <c r="G8" s="149"/>
      <c r="H8" s="79"/>
      <c r="I8" s="149"/>
      <c r="J8" s="188" t="str">
        <f t="shared" si="4"/>
        <v/>
      </c>
      <c r="K8" s="150">
        <f>IF(Basisgegevens!$F$1="JA",IF(D8="",0,(1-D8)+(E8)-G8),(E8-D8)-G8)</f>
        <v>0</v>
      </c>
      <c r="L8" s="44" t="str">
        <f t="shared" si="5"/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6"/>
        <v>19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 t="shared" si="12"/>
        <v>22</v>
      </c>
      <c r="AA8" s="165">
        <f t="shared" si="9"/>
        <v>0</v>
      </c>
      <c r="AB8" s="200">
        <f t="shared" si="10"/>
        <v>0</v>
      </c>
      <c r="AC8" s="168">
        <f t="shared" si="13"/>
        <v>0</v>
      </c>
      <c r="AD8" s="238">
        <f t="shared" si="11"/>
        <v>0</v>
      </c>
      <c r="AE8" s="4">
        <f t="shared" si="7"/>
        <v>0</v>
      </c>
    </row>
    <row r="9" spans="1:31" ht="16.5" thickBot="1" x14ac:dyDescent="0.3">
      <c r="A9" s="100" t="str">
        <f t="shared" si="0"/>
        <v>Donderdag</v>
      </c>
      <c r="B9" s="226">
        <f t="shared" si="3"/>
        <v>46149</v>
      </c>
      <c r="C9" s="149"/>
      <c r="D9" s="149"/>
      <c r="E9" s="149"/>
      <c r="F9" s="149"/>
      <c r="G9" s="149"/>
      <c r="H9" s="79"/>
      <c r="I9" s="149"/>
      <c r="J9" s="188" t="str">
        <f t="shared" si="4"/>
        <v/>
      </c>
      <c r="K9" s="150">
        <f>IF(Basisgegevens!$F$1="JA",IF(D9="",0,(1-D9)+(E9)-G9),(E9-D9)-G9)</f>
        <v>0</v>
      </c>
      <c r="L9" s="44" t="str">
        <f t="shared" si="5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6"/>
        <v>19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 t="shared" si="12"/>
        <v/>
      </c>
      <c r="AA9" s="212" t="str">
        <f t="shared" si="9"/>
        <v/>
      </c>
      <c r="AB9" s="166" t="str">
        <f t="shared" si="10"/>
        <v/>
      </c>
      <c r="AC9" s="64" t="str">
        <f t="shared" si="13"/>
        <v/>
      </c>
      <c r="AD9" s="239" t="str">
        <f t="shared" si="11"/>
        <v/>
      </c>
      <c r="AE9" s="4">
        <f t="shared" si="7"/>
        <v>0</v>
      </c>
    </row>
    <row r="10" spans="1:31" ht="16.5" thickBot="1" x14ac:dyDescent="0.3">
      <c r="A10" s="100" t="str">
        <f t="shared" si="0"/>
        <v>Vrijdag</v>
      </c>
      <c r="B10" s="226">
        <f t="shared" si="3"/>
        <v>46150</v>
      </c>
      <c r="C10" s="149"/>
      <c r="D10" s="149"/>
      <c r="E10" s="149"/>
      <c r="F10" s="149"/>
      <c r="G10" s="149"/>
      <c r="H10" s="79"/>
      <c r="I10" s="149"/>
      <c r="J10" s="188" t="str">
        <f t="shared" si="4"/>
        <v/>
      </c>
      <c r="K10" s="150">
        <f>IF(Basisgegevens!$F$1="JA",IF(D10="",0,(1-D10)+(E10)-G10),(E10-D10)-G10)</f>
        <v>0</v>
      </c>
      <c r="L10" s="44" t="str">
        <f t="shared" si="5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6"/>
        <v>19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7"/>
        <v>0</v>
      </c>
    </row>
    <row r="11" spans="1:31" ht="16.5" thickBot="1" x14ac:dyDescent="0.3">
      <c r="A11" s="100" t="str">
        <f t="shared" si="0"/>
        <v>Zaterdag</v>
      </c>
      <c r="B11" s="226">
        <f t="shared" si="3"/>
        <v>46151</v>
      </c>
      <c r="C11" s="149"/>
      <c r="D11" s="149"/>
      <c r="E11" s="149"/>
      <c r="F11" s="149"/>
      <c r="G11" s="149"/>
      <c r="H11" s="79"/>
      <c r="I11" s="149"/>
      <c r="J11" s="188" t="str">
        <f t="shared" si="4"/>
        <v/>
      </c>
      <c r="K11" s="150">
        <f>IF(Basisgegevens!$F$1="JA",IF(D11="",0,(1-D11)+(E11)-G11),(E11-D11)-G11)</f>
        <v>0</v>
      </c>
      <c r="L11" s="44" t="str">
        <f t="shared" si="5"/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6"/>
        <v>19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7"/>
        <v>0</v>
      </c>
    </row>
    <row r="12" spans="1:31" x14ac:dyDescent="0.25">
      <c r="A12" s="100" t="str">
        <f t="shared" si="0"/>
        <v>Zondag</v>
      </c>
      <c r="B12" s="226">
        <f t="shared" si="3"/>
        <v>46152</v>
      </c>
      <c r="C12" s="149"/>
      <c r="D12" s="149"/>
      <c r="E12" s="149"/>
      <c r="F12" s="149"/>
      <c r="G12" s="149"/>
      <c r="H12" s="79"/>
      <c r="I12" s="149"/>
      <c r="J12" s="188" t="str">
        <f t="shared" si="4"/>
        <v/>
      </c>
      <c r="K12" s="150">
        <f>IF(Basisgegevens!$F$1="JA",IF(D12="",0,(1-D12)+(E12)-G12),(E12-D12)-G12)</f>
        <v>0</v>
      </c>
      <c r="L12" s="44" t="str">
        <f t="shared" si="5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6"/>
        <v>19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4">Z4</f>
        <v>18</v>
      </c>
      <c r="AA12" s="207">
        <f t="shared" ref="AA12:AC17" si="15">IF(AA4="","",AA4*24)</f>
        <v>0</v>
      </c>
      <c r="AB12" s="207">
        <f t="shared" si="15"/>
        <v>0</v>
      </c>
      <c r="AC12" s="203">
        <f t="shared" si="15"/>
        <v>0</v>
      </c>
      <c r="AE12" s="4">
        <f t="shared" si="7"/>
        <v>0</v>
      </c>
    </row>
    <row r="13" spans="1:31" x14ac:dyDescent="0.25">
      <c r="A13" s="100" t="str">
        <f t="shared" si="0"/>
        <v>Maandag</v>
      </c>
      <c r="B13" s="226">
        <f t="shared" si="3"/>
        <v>46153</v>
      </c>
      <c r="C13" s="149"/>
      <c r="D13" s="149"/>
      <c r="E13" s="149"/>
      <c r="F13" s="149"/>
      <c r="G13" s="149"/>
      <c r="H13" s="79"/>
      <c r="I13" s="149"/>
      <c r="J13" s="188" t="str">
        <f t="shared" si="4"/>
        <v/>
      </c>
      <c r="K13" s="150">
        <f>IF(Basisgegevens!$F$1="JA",IF(D13="",0,(1-D13)+(E13)-G13),(E13-D13)-G13)</f>
        <v>0</v>
      </c>
      <c r="L13" s="44" t="str">
        <f t="shared" si="5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6"/>
        <v>20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4"/>
        <v>19</v>
      </c>
      <c r="AA13" s="208">
        <f t="shared" si="15"/>
        <v>0</v>
      </c>
      <c r="AB13" s="208">
        <f t="shared" si="15"/>
        <v>0</v>
      </c>
      <c r="AC13" s="204">
        <f t="shared" si="15"/>
        <v>0</v>
      </c>
      <c r="AE13" s="4">
        <f t="shared" si="7"/>
        <v>0</v>
      </c>
    </row>
    <row r="14" spans="1:31" x14ac:dyDescent="0.25">
      <c r="A14" s="100" t="str">
        <f t="shared" si="0"/>
        <v>Dinsdag</v>
      </c>
      <c r="B14" s="226">
        <f t="shared" si="3"/>
        <v>46154</v>
      </c>
      <c r="C14" s="149"/>
      <c r="D14" s="149"/>
      <c r="E14" s="149"/>
      <c r="F14" s="149"/>
      <c r="G14" s="149"/>
      <c r="H14" s="79"/>
      <c r="I14" s="149"/>
      <c r="J14" s="188" t="str">
        <f t="shared" si="4"/>
        <v/>
      </c>
      <c r="K14" s="150">
        <f>IF(Basisgegevens!$F$1="JA",IF(D14="",0,(1-D14)+(E14)-G14),(E14-D14)-G14)</f>
        <v>0</v>
      </c>
      <c r="L14" s="44" t="str">
        <f t="shared" si="5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6"/>
        <v>20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4"/>
        <v>20</v>
      </c>
      <c r="AA14" s="208">
        <f t="shared" si="15"/>
        <v>0</v>
      </c>
      <c r="AB14" s="208">
        <f t="shared" si="15"/>
        <v>0</v>
      </c>
      <c r="AC14" s="204">
        <f t="shared" si="15"/>
        <v>0</v>
      </c>
      <c r="AE14" s="4">
        <f t="shared" si="7"/>
        <v>0</v>
      </c>
    </row>
    <row r="15" spans="1:31" x14ac:dyDescent="0.25">
      <c r="A15" s="100" t="str">
        <f t="shared" si="0"/>
        <v>Woensdag</v>
      </c>
      <c r="B15" s="226">
        <f t="shared" si="3"/>
        <v>46155</v>
      </c>
      <c r="C15" s="149"/>
      <c r="D15" s="149"/>
      <c r="E15" s="149"/>
      <c r="F15" s="149"/>
      <c r="G15" s="149"/>
      <c r="H15" s="79"/>
      <c r="I15" s="149"/>
      <c r="J15" s="188" t="str">
        <f t="shared" si="4"/>
        <v/>
      </c>
      <c r="K15" s="150">
        <f>IF(Basisgegevens!$F$1="JA",IF(D15="",0,(1-D15)+(E15)-G15),(E15-D15)-G15)</f>
        <v>0</v>
      </c>
      <c r="L15" s="44" t="str">
        <f t="shared" si="5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6"/>
        <v>20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4"/>
        <v>21</v>
      </c>
      <c r="AA15" s="208">
        <f t="shared" si="15"/>
        <v>0</v>
      </c>
      <c r="AB15" s="208">
        <f t="shared" si="15"/>
        <v>0</v>
      </c>
      <c r="AC15" s="204">
        <f t="shared" si="15"/>
        <v>0</v>
      </c>
      <c r="AE15" s="4">
        <f t="shared" si="7"/>
        <v>0</v>
      </c>
    </row>
    <row r="16" spans="1:31" x14ac:dyDescent="0.25">
      <c r="A16" s="100" t="str">
        <f t="shared" si="0"/>
        <v>Donderdag</v>
      </c>
      <c r="B16" s="226">
        <f t="shared" si="3"/>
        <v>46156</v>
      </c>
      <c r="C16" s="149"/>
      <c r="D16" s="149"/>
      <c r="E16" s="149"/>
      <c r="F16" s="149"/>
      <c r="G16" s="149"/>
      <c r="H16" s="79"/>
      <c r="I16" s="149"/>
      <c r="J16" s="188" t="str">
        <f t="shared" si="4"/>
        <v/>
      </c>
      <c r="K16" s="150">
        <f>IF(Basisgegevens!$F$1="JA",IF(D16="",0,(1-D16)+(E16)-G16),(E16-D16)-G16)</f>
        <v>0</v>
      </c>
      <c r="L16" s="44" t="str">
        <f t="shared" si="5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>FD</v>
      </c>
      <c r="W16" s="220">
        <f t="shared" si="6"/>
        <v>20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4"/>
        <v>22</v>
      </c>
      <c r="AA16" s="208">
        <f t="shared" si="15"/>
        <v>0</v>
      </c>
      <c r="AB16" s="208">
        <f t="shared" si="15"/>
        <v>0</v>
      </c>
      <c r="AC16" s="204">
        <f t="shared" si="15"/>
        <v>0</v>
      </c>
      <c r="AE16" s="4">
        <f t="shared" si="7"/>
        <v>0</v>
      </c>
    </row>
    <row r="17" spans="1:31" ht="16.5" thickBot="1" x14ac:dyDescent="0.3">
      <c r="A17" s="100" t="str">
        <f t="shared" si="0"/>
        <v>Vrijdag</v>
      </c>
      <c r="B17" s="226">
        <f t="shared" si="3"/>
        <v>46157</v>
      </c>
      <c r="C17" s="149"/>
      <c r="D17" s="149"/>
      <c r="E17" s="149"/>
      <c r="F17" s="149"/>
      <c r="G17" s="149"/>
      <c r="H17" s="79"/>
      <c r="I17" s="149"/>
      <c r="J17" s="188" t="str">
        <f t="shared" si="4"/>
        <v/>
      </c>
      <c r="K17" s="150">
        <f>IF(Basisgegevens!$F$1="JA",IF(D17="",0,(1-D17)+(E17)-G17),(E17-D17)-G17)</f>
        <v>0</v>
      </c>
      <c r="L17" s="44" t="str">
        <f t="shared" si="5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6"/>
        <v>20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4"/>
        <v/>
      </c>
      <c r="AA17" s="209" t="str">
        <f t="shared" si="15"/>
        <v/>
      </c>
      <c r="AB17" s="209" t="str">
        <f t="shared" si="15"/>
        <v/>
      </c>
      <c r="AC17" s="205" t="str">
        <f t="shared" si="15"/>
        <v/>
      </c>
      <c r="AE17" s="4">
        <f t="shared" si="7"/>
        <v>0</v>
      </c>
    </row>
    <row r="18" spans="1:31" x14ac:dyDescent="0.25">
      <c r="A18" s="100" t="str">
        <f t="shared" si="0"/>
        <v>Zaterdag</v>
      </c>
      <c r="B18" s="226">
        <f t="shared" si="3"/>
        <v>46158</v>
      </c>
      <c r="C18" s="149"/>
      <c r="D18" s="149"/>
      <c r="E18" s="149"/>
      <c r="F18" s="149"/>
      <c r="G18" s="149"/>
      <c r="H18" s="79"/>
      <c r="I18" s="149"/>
      <c r="J18" s="188" t="str">
        <f t="shared" si="4"/>
        <v/>
      </c>
      <c r="K18" s="150">
        <f>IF(Basisgegevens!$F$1="JA",IF(D18="",0,(1-D18)+(E18)-G18),(E18-D18)-G18)</f>
        <v>0</v>
      </c>
      <c r="L18" s="44" t="str">
        <f t="shared" si="5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6"/>
        <v>20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7"/>
        <v>0</v>
      </c>
    </row>
    <row r="19" spans="1:31" x14ac:dyDescent="0.25">
      <c r="A19" s="100" t="str">
        <f t="shared" si="0"/>
        <v>Zondag</v>
      </c>
      <c r="B19" s="226">
        <f t="shared" si="3"/>
        <v>46159</v>
      </c>
      <c r="C19" s="149"/>
      <c r="D19" s="149"/>
      <c r="E19" s="149"/>
      <c r="F19" s="149"/>
      <c r="G19" s="149"/>
      <c r="H19" s="79"/>
      <c r="I19" s="149"/>
      <c r="J19" s="188" t="str">
        <f t="shared" si="4"/>
        <v/>
      </c>
      <c r="K19" s="150">
        <f>IF(Basisgegevens!$F$1="JA",IF(D19="",0,(1-D19)+(E19)-G19),(E19-D19)-G19)</f>
        <v>0</v>
      </c>
      <c r="L19" s="44" t="str">
        <f t="shared" si="5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6"/>
        <v>20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7"/>
        <v>0</v>
      </c>
    </row>
    <row r="20" spans="1:31" x14ac:dyDescent="0.25">
      <c r="A20" s="100" t="str">
        <f t="shared" si="0"/>
        <v>Maandag</v>
      </c>
      <c r="B20" s="226">
        <f t="shared" si="3"/>
        <v>46160</v>
      </c>
      <c r="C20" s="149"/>
      <c r="D20" s="149"/>
      <c r="E20" s="149"/>
      <c r="F20" s="149"/>
      <c r="G20" s="149"/>
      <c r="H20" s="79"/>
      <c r="I20" s="149"/>
      <c r="J20" s="188" t="str">
        <f t="shared" si="4"/>
        <v/>
      </c>
      <c r="K20" s="150">
        <f>IF(Basisgegevens!$F$1="JA",IF(D20="",0,(1-D20)+(E20)-G20),(E20-D20)-G20)</f>
        <v>0</v>
      </c>
      <c r="L20" s="44" t="str">
        <f t="shared" si="5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6"/>
        <v>21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7"/>
        <v>0</v>
      </c>
    </row>
    <row r="21" spans="1:31" x14ac:dyDescent="0.25">
      <c r="A21" s="100" t="str">
        <f t="shared" si="0"/>
        <v>Dinsdag</v>
      </c>
      <c r="B21" s="226">
        <f t="shared" si="3"/>
        <v>46161</v>
      </c>
      <c r="C21" s="149"/>
      <c r="D21" s="149"/>
      <c r="E21" s="149"/>
      <c r="F21" s="149"/>
      <c r="G21" s="149"/>
      <c r="H21" s="79"/>
      <c r="I21" s="149"/>
      <c r="J21" s="188" t="str">
        <f t="shared" si="4"/>
        <v/>
      </c>
      <c r="K21" s="150">
        <f>IF(Basisgegevens!$F$1="JA",IF(D21="",0,(1-D21)+(E21)-G21),(E21-D21)-G21)</f>
        <v>0</v>
      </c>
      <c r="L21" s="44" t="str">
        <f t="shared" si="5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6"/>
        <v>21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7"/>
        <v>0</v>
      </c>
    </row>
    <row r="22" spans="1:31" ht="16.5" customHeight="1" x14ac:dyDescent="0.25">
      <c r="A22" s="100" t="str">
        <f t="shared" si="0"/>
        <v>Woensdag</v>
      </c>
      <c r="B22" s="226">
        <f t="shared" si="3"/>
        <v>46162</v>
      </c>
      <c r="C22" s="149"/>
      <c r="D22" s="149"/>
      <c r="E22" s="149"/>
      <c r="F22" s="149"/>
      <c r="G22" s="149"/>
      <c r="H22" s="79"/>
      <c r="I22" s="149"/>
      <c r="J22" s="188" t="str">
        <f t="shared" si="4"/>
        <v/>
      </c>
      <c r="K22" s="150">
        <f>IF(Basisgegevens!$F$1="JA",IF(D22="",0,(1-D22)+(E22)-G22),(E22-D22)-G22)</f>
        <v>0</v>
      </c>
      <c r="L22" s="44" t="str">
        <f t="shared" si="5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6"/>
        <v>21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7"/>
        <v>0</v>
      </c>
    </row>
    <row r="23" spans="1:31" x14ac:dyDescent="0.25">
      <c r="A23" s="100" t="str">
        <f t="shared" si="0"/>
        <v>Donderdag</v>
      </c>
      <c r="B23" s="226">
        <f t="shared" si="3"/>
        <v>46163</v>
      </c>
      <c r="C23" s="149"/>
      <c r="D23" s="149"/>
      <c r="E23" s="149"/>
      <c r="F23" s="149"/>
      <c r="G23" s="149"/>
      <c r="H23" s="79"/>
      <c r="I23" s="149"/>
      <c r="J23" s="188" t="str">
        <f t="shared" si="4"/>
        <v/>
      </c>
      <c r="K23" s="150">
        <f>IF(Basisgegevens!$F$1="JA",IF(D23="",0,(1-D23)+(E23)-G23),(E23-D23)-G23)</f>
        <v>0</v>
      </c>
      <c r="L23" s="44" t="str">
        <f t="shared" si="5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6"/>
        <v>21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7"/>
        <v>0</v>
      </c>
    </row>
    <row r="24" spans="1:31" x14ac:dyDescent="0.25">
      <c r="A24" s="100" t="str">
        <f t="shared" si="0"/>
        <v>Vrijdag</v>
      </c>
      <c r="B24" s="226">
        <f t="shared" si="3"/>
        <v>46164</v>
      </c>
      <c r="C24" s="149"/>
      <c r="D24" s="149"/>
      <c r="E24" s="149"/>
      <c r="F24" s="149"/>
      <c r="G24" s="149"/>
      <c r="H24" s="79"/>
      <c r="I24" s="149"/>
      <c r="J24" s="188" t="str">
        <f t="shared" si="4"/>
        <v/>
      </c>
      <c r="K24" s="150">
        <f>IF(Basisgegevens!$F$1="JA",IF(D24="",0,(1-D24)+(E24)-G24),(E24-D24)-G24)</f>
        <v>0</v>
      </c>
      <c r="L24" s="44" t="str">
        <f t="shared" si="5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6"/>
        <v>21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7"/>
        <v>0</v>
      </c>
    </row>
    <row r="25" spans="1:31" x14ac:dyDescent="0.25">
      <c r="A25" s="100" t="str">
        <f t="shared" si="0"/>
        <v>Zaterdag</v>
      </c>
      <c r="B25" s="226">
        <f t="shared" si="3"/>
        <v>46165</v>
      </c>
      <c r="C25" s="149"/>
      <c r="D25" s="149"/>
      <c r="E25" s="149"/>
      <c r="F25" s="149"/>
      <c r="G25" s="149"/>
      <c r="H25" s="79"/>
      <c r="I25" s="149"/>
      <c r="J25" s="188" t="str">
        <f t="shared" si="4"/>
        <v/>
      </c>
      <c r="K25" s="150">
        <f>IF(Basisgegevens!$F$1="JA",IF(D25="",0,(1-D25)+(E25)-G25),(E25-D25)-G25)</f>
        <v>0</v>
      </c>
      <c r="L25" s="44" t="str">
        <f t="shared" si="5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6"/>
        <v>21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7"/>
        <v>0</v>
      </c>
    </row>
    <row r="26" spans="1:31" x14ac:dyDescent="0.25">
      <c r="A26" s="100" t="str">
        <f t="shared" si="0"/>
        <v>Zondag</v>
      </c>
      <c r="B26" s="226">
        <f t="shared" si="3"/>
        <v>46166</v>
      </c>
      <c r="C26" s="149"/>
      <c r="D26" s="149"/>
      <c r="E26" s="149"/>
      <c r="F26" s="149"/>
      <c r="G26" s="149"/>
      <c r="H26" s="79"/>
      <c r="I26" s="149"/>
      <c r="J26" s="188" t="str">
        <f t="shared" si="4"/>
        <v/>
      </c>
      <c r="K26" s="150">
        <f>IF(Basisgegevens!$F$1="JA",IF(D26="",0,(1-D26)+(E26)-G26),(E26-D26)-G26)</f>
        <v>0</v>
      </c>
      <c r="L26" s="44" t="str">
        <f t="shared" si="5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>FD</v>
      </c>
      <c r="W26" s="220">
        <f t="shared" si="6"/>
        <v>21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7"/>
        <v>0</v>
      </c>
    </row>
    <row r="27" spans="1:31" x14ac:dyDescent="0.25">
      <c r="A27" s="100" t="str">
        <f t="shared" si="0"/>
        <v>Maandag</v>
      </c>
      <c r="B27" s="226">
        <f t="shared" si="3"/>
        <v>46167</v>
      </c>
      <c r="C27" s="149"/>
      <c r="D27" s="149"/>
      <c r="E27" s="149"/>
      <c r="F27" s="149"/>
      <c r="G27" s="149"/>
      <c r="H27" s="79"/>
      <c r="I27" s="149"/>
      <c r="J27" s="188" t="str">
        <f t="shared" si="4"/>
        <v/>
      </c>
      <c r="K27" s="150">
        <f>IF(Basisgegevens!$F$1="JA",IF(D27="",0,(1-D27)+(E27)-G27),(E27-D27)-G27)</f>
        <v>0</v>
      </c>
      <c r="L27" s="44" t="str">
        <f t="shared" si="5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>FD</v>
      </c>
      <c r="W27" s="220">
        <f t="shared" si="6"/>
        <v>22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7"/>
        <v>0</v>
      </c>
    </row>
    <row r="28" spans="1:31" x14ac:dyDescent="0.25">
      <c r="A28" s="100" t="str">
        <f t="shared" si="0"/>
        <v>Dinsdag</v>
      </c>
      <c r="B28" s="226">
        <f t="shared" si="3"/>
        <v>46168</v>
      </c>
      <c r="C28" s="149"/>
      <c r="D28" s="149"/>
      <c r="E28" s="149"/>
      <c r="F28" s="149"/>
      <c r="G28" s="149"/>
      <c r="H28" s="79"/>
      <c r="I28" s="149"/>
      <c r="J28" s="188" t="str">
        <f t="shared" si="4"/>
        <v/>
      </c>
      <c r="K28" s="150">
        <f>IF(Basisgegevens!$F$1="JA",IF(D28="",0,(1-D28)+(E28)-G28),(E28-D28)-G28)</f>
        <v>0</v>
      </c>
      <c r="L28" s="44" t="str">
        <f t="shared" si="5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6"/>
        <v>22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7"/>
        <v>0</v>
      </c>
    </row>
    <row r="29" spans="1:31" x14ac:dyDescent="0.25">
      <c r="A29" s="100" t="str">
        <f t="shared" si="0"/>
        <v>Woensdag</v>
      </c>
      <c r="B29" s="226">
        <f t="shared" si="3"/>
        <v>46169</v>
      </c>
      <c r="C29" s="149"/>
      <c r="D29" s="149"/>
      <c r="E29" s="149"/>
      <c r="F29" s="149"/>
      <c r="G29" s="149"/>
      <c r="H29" s="79"/>
      <c r="I29" s="149"/>
      <c r="J29" s="188" t="str">
        <f t="shared" si="4"/>
        <v/>
      </c>
      <c r="K29" s="150">
        <f>IF(Basisgegevens!$F$1="JA",IF(D29="",0,(1-D29)+(E29)-G29),(E29-D29)-G29)</f>
        <v>0</v>
      </c>
      <c r="L29" s="44" t="str">
        <f t="shared" si="5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6"/>
        <v>22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7"/>
        <v>0</v>
      </c>
    </row>
    <row r="30" spans="1:31" x14ac:dyDescent="0.25">
      <c r="A30" s="100" t="str">
        <f t="shared" si="0"/>
        <v>Donderdag</v>
      </c>
      <c r="B30" s="226">
        <f t="shared" si="3"/>
        <v>46170</v>
      </c>
      <c r="C30" s="149"/>
      <c r="D30" s="149"/>
      <c r="E30" s="149"/>
      <c r="F30" s="149"/>
      <c r="G30" s="149"/>
      <c r="H30" s="79"/>
      <c r="I30" s="149"/>
      <c r="J30" s="188" t="str">
        <f t="shared" si="4"/>
        <v/>
      </c>
      <c r="K30" s="150">
        <f>IF(Basisgegevens!$F$1="JA",IF(D30="",0,(1-D30)+(E30)-G30),(E30-D30)-G30)</f>
        <v>0</v>
      </c>
      <c r="L30" s="44" t="str">
        <f t="shared" si="5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6"/>
        <v>22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7"/>
        <v>0</v>
      </c>
    </row>
    <row r="31" spans="1:31" x14ac:dyDescent="0.25">
      <c r="A31" s="100" t="str">
        <f t="shared" si="0"/>
        <v>Vrijdag</v>
      </c>
      <c r="B31" s="226">
        <f t="shared" si="3"/>
        <v>46171</v>
      </c>
      <c r="C31" s="149"/>
      <c r="D31" s="149"/>
      <c r="E31" s="149"/>
      <c r="F31" s="149"/>
      <c r="G31" s="149"/>
      <c r="H31" s="79"/>
      <c r="I31" s="149"/>
      <c r="J31" s="188" t="str">
        <f t="shared" si="4"/>
        <v/>
      </c>
      <c r="K31" s="150">
        <f>IF(Basisgegevens!$F$1="JA",IF(D31="",0,(1-D31)+(E31)-G31),(E31-D31)-G31)</f>
        <v>0</v>
      </c>
      <c r="L31" s="44" t="str">
        <f t="shared" si="5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6"/>
        <v>22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7"/>
        <v>0</v>
      </c>
    </row>
    <row r="32" spans="1:31" x14ac:dyDescent="0.25">
      <c r="A32" s="100" t="str">
        <f t="shared" si="0"/>
        <v>Zaterdag</v>
      </c>
      <c r="B32" s="226">
        <f t="shared" si="3"/>
        <v>46172</v>
      </c>
      <c r="C32" s="149"/>
      <c r="D32" s="149"/>
      <c r="E32" s="149"/>
      <c r="F32" s="149"/>
      <c r="G32" s="149"/>
      <c r="H32" s="79"/>
      <c r="I32" s="149"/>
      <c r="J32" s="188" t="str">
        <f t="shared" si="4"/>
        <v/>
      </c>
      <c r="K32" s="150">
        <f>IF(Basisgegevens!$F$1="JA",IF(D32="",0,(1-D32)+(E32)-G32),(E32-D32)-G32)</f>
        <v>0</v>
      </c>
      <c r="L32" s="44" t="str">
        <f t="shared" si="5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6"/>
        <v>22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7"/>
        <v>0</v>
      </c>
    </row>
    <row r="33" spans="1:31" x14ac:dyDescent="0.25">
      <c r="A33" s="100" t="str">
        <f t="shared" si="0"/>
        <v>Zondag</v>
      </c>
      <c r="B33" s="226">
        <f>B32+1</f>
        <v>46173</v>
      </c>
      <c r="C33" s="149"/>
      <c r="D33" s="149"/>
      <c r="E33" s="149"/>
      <c r="F33" s="149"/>
      <c r="G33" s="149"/>
      <c r="H33" s="79"/>
      <c r="I33" s="149"/>
      <c r="J33" s="188" t="str">
        <f t="shared" si="4"/>
        <v/>
      </c>
      <c r="K33" s="150">
        <f>IF(Basisgegevens!$F$1="JA",IF(D33="",0,(1-D33)+(E33)-G33),(E33-D33)-G33)</f>
        <v>0</v>
      </c>
      <c r="L33" s="44" t="str">
        <f t="shared" si="5"/>
        <v/>
      </c>
      <c r="M33" s="150">
        <f t="shared" si="8"/>
        <v>0</v>
      </c>
      <c r="N33" s="44" t="str">
        <f t="shared" si="2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R33" s="153"/>
      <c r="S33" s="153"/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6"/>
        <v>22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09"/>
      <c r="AA33" s="309"/>
      <c r="AB33" s="309"/>
      <c r="AC33" s="309"/>
      <c r="AE33" s="4">
        <f t="shared" si="7"/>
        <v>0</v>
      </c>
    </row>
    <row r="34" spans="1:31" x14ac:dyDescent="0.25">
      <c r="A34" s="2"/>
      <c r="B34" s="8"/>
      <c r="C34" s="5"/>
      <c r="D34" s="5"/>
      <c r="E34" s="5"/>
      <c r="F34" s="5"/>
      <c r="G34" s="5"/>
      <c r="H34" s="8"/>
      <c r="I34" s="5"/>
      <c r="K34" s="3"/>
      <c r="L34" s="3"/>
      <c r="M34" s="3"/>
      <c r="N34" s="44"/>
      <c r="O34" s="3"/>
      <c r="P34" s="6"/>
      <c r="Q34" s="7"/>
      <c r="T34" s="2"/>
      <c r="W34" s="230"/>
      <c r="Z34" s="309"/>
      <c r="AA34" s="309"/>
      <c r="AB34" s="309"/>
      <c r="AC34" s="309"/>
    </row>
    <row r="35" spans="1:31" x14ac:dyDescent="0.25">
      <c r="A35" s="14"/>
      <c r="B35" s="8"/>
      <c r="C35" s="8"/>
      <c r="D35" s="5"/>
      <c r="E35" s="5"/>
      <c r="F35" s="5"/>
      <c r="H35" s="8"/>
      <c r="I35" s="77" t="s">
        <v>15</v>
      </c>
      <c r="J35" s="190"/>
      <c r="K35" s="17">
        <f t="shared" ref="K35:Y35" si="16">SUM(K3:K33)</f>
        <v>0</v>
      </c>
      <c r="L35" s="98">
        <f t="shared" si="16"/>
        <v>0</v>
      </c>
      <c r="M35" s="89">
        <f t="shared" si="16"/>
        <v>0</v>
      </c>
      <c r="N35" s="76">
        <f t="shared" si="16"/>
        <v>0</v>
      </c>
      <c r="O35" s="17">
        <f t="shared" si="16"/>
        <v>0</v>
      </c>
      <c r="P35" s="15">
        <f t="shared" si="16"/>
        <v>0</v>
      </c>
      <c r="Q35" s="16">
        <f t="shared" si="16"/>
        <v>0</v>
      </c>
      <c r="R35" s="155">
        <f t="shared" si="16"/>
        <v>0</v>
      </c>
      <c r="S35" s="155">
        <f t="shared" ref="S35" si="17">SUM(S3:S33)</f>
        <v>0</v>
      </c>
      <c r="T35" s="31"/>
      <c r="U35" s="141"/>
      <c r="V35" s="31"/>
      <c r="W35" s="233"/>
      <c r="X35" s="32">
        <f t="shared" si="16"/>
        <v>0</v>
      </c>
      <c r="Y35" s="32">
        <f t="shared" si="16"/>
        <v>0</v>
      </c>
      <c r="Z35" s="309"/>
      <c r="AA35" s="309"/>
      <c r="AB35" s="309"/>
      <c r="AC35" s="309"/>
      <c r="AE35" s="4">
        <f>SUM(AE3:AE33)</f>
        <v>0</v>
      </c>
    </row>
    <row r="36" spans="1:31" x14ac:dyDescent="0.25">
      <c r="L36" s="27"/>
      <c r="M36" s="306" t="s">
        <v>112</v>
      </c>
      <c r="N36" s="307"/>
      <c r="R36" s="293">
        <f>R35+S35</f>
        <v>0</v>
      </c>
      <c r="S36" s="294"/>
      <c r="W36" s="230"/>
      <c r="Z36" s="309"/>
      <c r="AA36" s="309"/>
      <c r="AB36" s="309"/>
      <c r="AC36" s="309"/>
    </row>
    <row r="37" spans="1:31" x14ac:dyDescent="0.25">
      <c r="B37" s="41"/>
      <c r="C37" s="41"/>
      <c r="D37" s="41"/>
      <c r="E37" s="41"/>
      <c r="F37" s="41"/>
      <c r="G37" s="80"/>
      <c r="H37" s="41"/>
      <c r="I37" s="41"/>
      <c r="K37" s="41"/>
      <c r="L37" s="79"/>
      <c r="M37" s="292" t="s">
        <v>111</v>
      </c>
      <c r="N37" s="292"/>
      <c r="O37" s="84"/>
      <c r="P37" s="84"/>
      <c r="Q37" s="80"/>
      <c r="R37" s="293"/>
      <c r="S37" s="294"/>
      <c r="T37" s="41"/>
      <c r="W37" s="230"/>
      <c r="Z37" s="309"/>
      <c r="AA37" s="309"/>
      <c r="AB37" s="309"/>
      <c r="AC37" s="309"/>
    </row>
    <row r="38" spans="1:31" x14ac:dyDescent="0.25">
      <c r="B38" s="41"/>
      <c r="C38" s="41"/>
      <c r="D38" s="41"/>
      <c r="E38" s="41"/>
      <c r="F38" s="41"/>
      <c r="G38" s="80"/>
      <c r="H38" s="41"/>
      <c r="I38" s="41"/>
      <c r="K38" s="80"/>
      <c r="L38" s="79"/>
      <c r="M38" s="292" t="s">
        <v>113</v>
      </c>
      <c r="N38" s="292"/>
      <c r="O38" s="41"/>
      <c r="P38" s="88"/>
      <c r="Q38" s="43"/>
      <c r="R38" s="293">
        <f>((R36*Basisgegevens!D44)-(R37*Basisgegevens!D47))/Basisgegevens!D44</f>
        <v>0</v>
      </c>
      <c r="S38" s="294"/>
      <c r="T38" s="41"/>
      <c r="W38" s="230"/>
      <c r="Z38" s="309"/>
      <c r="AA38" s="309"/>
      <c r="AB38" s="309"/>
      <c r="AC38" s="309"/>
    </row>
    <row r="39" spans="1:31" x14ac:dyDescent="0.25">
      <c r="B39" s="41"/>
      <c r="C39" s="41"/>
      <c r="D39" s="41"/>
      <c r="E39" s="41"/>
      <c r="F39" s="41"/>
      <c r="G39" s="80"/>
      <c r="H39" s="41"/>
      <c r="I39" s="41"/>
      <c r="K39" s="41"/>
      <c r="L39" s="79"/>
      <c r="M39" s="4"/>
      <c r="O39" s="41"/>
      <c r="P39" s="88"/>
      <c r="Q39" s="43"/>
      <c r="T39" s="41"/>
    </row>
    <row r="40" spans="1:31" x14ac:dyDescent="0.25">
      <c r="B40" s="41"/>
      <c r="C40" s="41"/>
      <c r="D40" s="41"/>
      <c r="E40" s="41"/>
      <c r="F40" s="41"/>
      <c r="G40" s="41"/>
      <c r="H40" s="41"/>
      <c r="I40" s="41"/>
      <c r="K40" s="41"/>
      <c r="L40" s="41"/>
      <c r="O40" s="41"/>
      <c r="P40" s="88"/>
      <c r="Q40" s="43"/>
      <c r="T40" s="41"/>
    </row>
    <row r="41" spans="1:31" x14ac:dyDescent="0.25">
      <c r="B41" s="41"/>
      <c r="C41" s="41"/>
      <c r="D41" s="41"/>
      <c r="E41" s="41"/>
      <c r="F41" s="41"/>
      <c r="G41" s="41"/>
      <c r="H41" s="41"/>
      <c r="I41" s="41"/>
      <c r="K41" s="41"/>
      <c r="L41" s="79"/>
      <c r="O41" s="41"/>
      <c r="P41" s="41"/>
      <c r="Q41" s="41"/>
      <c r="T41" s="41"/>
    </row>
    <row r="42" spans="1:31" x14ac:dyDescent="0.25"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T42" s="41"/>
    </row>
    <row r="43" spans="1:31" x14ac:dyDescent="0.25">
      <c r="B43" s="41"/>
      <c r="C43" s="41"/>
      <c r="D43" s="41"/>
      <c r="E43" s="41"/>
      <c r="F43" s="41"/>
      <c r="G43" s="41"/>
      <c r="H43" s="41"/>
      <c r="I43" s="41"/>
      <c r="K43" s="41"/>
      <c r="L43" s="80"/>
      <c r="O43" s="41"/>
      <c r="P43" s="88"/>
      <c r="Q43" s="43"/>
      <c r="T43" s="41"/>
    </row>
    <row r="44" spans="1:31" x14ac:dyDescent="0.25"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T44" s="41"/>
    </row>
    <row r="45" spans="1:31" x14ac:dyDescent="0.25">
      <c r="B45" s="41"/>
      <c r="C45" s="41"/>
      <c r="D45" s="41"/>
      <c r="E45" s="41"/>
      <c r="F45" s="41"/>
      <c r="G45" s="41"/>
      <c r="H45" s="41"/>
      <c r="I45" s="41"/>
      <c r="K45" s="41"/>
      <c r="L45" s="84"/>
      <c r="M45" s="4"/>
      <c r="O45" s="41"/>
      <c r="P45" s="88"/>
      <c r="Q45" s="43"/>
      <c r="T45" s="41"/>
    </row>
  </sheetData>
  <mergeCells count="17">
    <mergeCell ref="R36:S36"/>
    <mergeCell ref="J1:J2"/>
    <mergeCell ref="M1:N1"/>
    <mergeCell ref="M36:N36"/>
    <mergeCell ref="Z18:AC38"/>
    <mergeCell ref="M37:N37"/>
    <mergeCell ref="M38:N38"/>
    <mergeCell ref="R37:S37"/>
    <mergeCell ref="R38:S38"/>
    <mergeCell ref="A1:B2"/>
    <mergeCell ref="C1:G1"/>
    <mergeCell ref="T1:T2"/>
    <mergeCell ref="V1:V2"/>
    <mergeCell ref="W1:W2"/>
    <mergeCell ref="U1:U2"/>
    <mergeCell ref="K1:L1"/>
    <mergeCell ref="H1:I1"/>
  </mergeCells>
  <phoneticPr fontId="0" type="noConversion"/>
  <conditionalFormatting sqref="A3:W33">
    <cfRule type="expression" dxfId="21" priority="1" stopIfTrue="1">
      <formula>WEEKDAY($B3)=7</formula>
    </cfRule>
    <cfRule type="expression" dxfId="20" priority="2" stopIfTrue="1">
      <formula>WEEKDAY($B3)=1</formula>
    </cfRule>
  </conditionalFormatting>
  <dataValidations count="1">
    <dataValidation type="list" allowBlank="1" sqref="H3:H33" xr:uid="{00000000-0002-0000-04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7">
    <pageSetUpPr fitToPage="1"/>
  </sheetPr>
  <dimension ref="A1:AE60"/>
  <sheetViews>
    <sheetView zoomScaleNormal="100" workbookViewId="0">
      <pane ySplit="2" topLeftCell="A3" activePane="bottomLeft" state="frozen"/>
      <selection activeCell="F48" sqref="F48"/>
      <selection pane="bottomLeft" activeCell="C21" sqref="C21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.125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2" si="0">IF(WEEKDAY(B3)=1,"Zondag",IF(WEEKDAY(B3)=2,"Maandag",IF(WEEKDAY(B3)=3,"Dinsdag",IF(WEEKDAY(B3)=4,"Woensdag",IF(WEEKDAY(B3)=5,"Donderdag",IF(WEEKDAY(B3)=6,"Vrijdag","Zaterdag"))))))</f>
        <v>Maandag</v>
      </c>
      <c r="B3" s="226">
        <f>Mei!B33+1</f>
        <v>46174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23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Dinsdag</v>
      </c>
      <c r="B4" s="226">
        <f>B3+1</f>
        <v>46175</v>
      </c>
      <c r="C4" s="149"/>
      <c r="D4" s="149"/>
      <c r="E4" s="149"/>
      <c r="F4" s="149"/>
      <c r="G4" s="149"/>
      <c r="H4" s="79"/>
      <c r="I4" s="149"/>
      <c r="J4" s="188" t="str">
        <f t="shared" ref="J4:J32" si="3">IF(I4="","",IF(HOUR(I4)&lt;5,0.5,1))</f>
        <v/>
      </c>
      <c r="K4" s="150">
        <f>IF(Basisgegevens!$F$1="JA",IF(D4="",0,(1-D4)+(E4)-G4),(E4-D4)-G4)</f>
        <v>0</v>
      </c>
      <c r="L4" s="44" t="str">
        <f t="shared" ref="L4:L32" si="4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2" si="5">IF(WEEKDAY(B4)=1,(WEEKNUM(DATE(YEAR(B4),MONTH(B4),DAY(B4)),)-1),WEEKNUM(DATE(YEAR(B4),MONTH(B4),DAY(B4)),))</f>
        <v>23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LOOKUP(SMALL(W3:W32,1),W3:W32,W3:W32)</f>
        <v>23</v>
      </c>
      <c r="AA4" s="199">
        <f>IF($Z4="","",SUMIFS($K$3:$K$32,$W$3:$W$32,$Z4,$A$3:$A$32,"&lt;&gt;Zaterdag",$A$3:$A$32,"&lt;&gt;Zondag"))</f>
        <v>0</v>
      </c>
      <c r="AB4" s="199">
        <f>IF(Z4="","",SUMIFS(K$3:K$32,W$3:W$32,Z4,A$3:A$32,"&lt;&gt;Zaterdag",A$3:A$32,"&lt;&gt;Zondag")+SUMIFS(I$3:I$32,W$3:W$32,Z4,A$3:A$32,"&lt;&gt;Zaterdag",A$3:A$32,"&lt;&gt;Zondag"))</f>
        <v>0</v>
      </c>
      <c r="AC4" s="167">
        <f>IF($Z4="","",SUMIFS($M$3:$M$32,$W$3:$W$32,$Z4,$A$3:$A$32,"&lt;&gt;Zaterdag",$A$3:$A$32,"&lt;&gt;Zondag"))</f>
        <v>0</v>
      </c>
      <c r="AD4" s="237">
        <f>IF($Z4="","",SUMIFS($K$3:$K$32,$W$3:$W$32,$Z4,$A$3:$A$32,"&lt;&gt;Zaterdag",$A$3:$A$32,"&lt;&gt;Zondag")+SUMIFS($I$3:$I$32,$W$3:$W$32,$Z4,$A$3:$A$32,"&lt;&gt;Zaterdag",$A$3:$A$32,"&lt;&gt;Zondag",$H$3:$H$32,"=ADV")+SUMIFS($I$3:$I$32,$W$3:$W$32,$Z4,$A$3:$A$32,"&lt;&gt;Zaterdag",$A$3:$A$32,"&lt;&gt;Zondag",$H$3:$H$32,"=BF")+SUMIFS($I$3:$I$32,$W$3:$W$32,$Z4,$A$3:$A$32,"&lt;&gt;Zaterdag",$A$3:$A$32,"&lt;&gt;Zondag",$H$3:$H$32,"=BIR")+SUMIFS($I$3:$I$32,$W$3:$W$32,$Z4,$A$3:$A$32,"&lt;&gt;Zaterdag",$A$3:$A$32,"&lt;&gt;Zondag",$H$3:$H$32,"=OPL"))</f>
        <v>0</v>
      </c>
      <c r="AE4" s="4">
        <f t="shared" ref="AE4:AE32" si="6">IF(L4="",0,IF(L4&gt;=5,1,0))</f>
        <v>0</v>
      </c>
    </row>
    <row r="5" spans="1:31" x14ac:dyDescent="0.25">
      <c r="A5" s="100" t="str">
        <f t="shared" si="0"/>
        <v>Woensdag</v>
      </c>
      <c r="B5" s="226">
        <f t="shared" ref="B5:B32" si="7">B4+1</f>
        <v>46176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2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23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IF(W$32=Z4,"",Z4+1)</f>
        <v>24</v>
      </c>
      <c r="AA5" s="200">
        <f t="shared" ref="AA5:AA9" si="9">IF($Z5="","",SUMIFS($K$3:$K$32,$W$3:$W$32,$Z5,$A$3:$A$32,"&lt;&gt;Zaterdag",$A$3:$A$32,"&lt;&gt;Zondag"))</f>
        <v>0</v>
      </c>
      <c r="AB5" s="200">
        <f t="shared" ref="AB5:AB9" si="10">IF(Z5="","",SUMIFS(K$3:K$32,W$3:W$32,Z5,A$3:A$32,"&lt;&gt;Zaterdag",A$3:A$32,"&lt;&gt;Zondag")+SUMIFS(I$3:I$32,W$3:W$32,Z5,A$3:A$32,"&lt;&gt;Zaterdag",A$3:A$32,"&lt;&gt;Zondag"))</f>
        <v>0</v>
      </c>
      <c r="AC5" s="168">
        <f t="shared" ref="AC5:AC9" si="11">IF($Z5="","",SUMIFS($M$3:$M$32,$W$3:$W$32,$Z5,$A$3:$A$32,"&lt;&gt;Zaterdag",$A$3:$A$32,"&lt;&gt;Zondag"))</f>
        <v>0</v>
      </c>
      <c r="AD5" s="237">
        <f t="shared" ref="AD5:AD9" si="12">IF($Z5="","",SUMIFS($K$3:$K$32,$W$3:$W$32,$Z5,$A$3:$A$32,"&lt;&gt;Zaterdag",$A$3:$A$32,"&lt;&gt;Zondag")+SUMIFS($I$3:$I$32,$W$3:$W$32,$Z5,$A$3:$A$32,"&lt;&gt;Zaterdag",$A$3:$A$32,"&lt;&gt;Zondag",$H$3:$H$32,"=ADV")+SUMIFS($I$3:$I$32,$W$3:$W$32,$Z5,$A$3:$A$32,"&lt;&gt;Zaterdag",$A$3:$A$32,"&lt;&gt;Zondag",$H$3:$H$32,"=BF")+SUMIFS($I$3:$I$32,$W$3:$W$32,$Z5,$A$3:$A$32,"&lt;&gt;Zaterdag",$A$3:$A$32,"&lt;&gt;Zondag",$H$3:$H$32,"=BIR")+SUMIFS($I$3:$I$32,$W$3:$W$32,$Z5,$A$3:$A$32,"&lt;&gt;Zaterdag",$A$3:$A$32,"&lt;&gt;Zondag",$H$3:$H$32,"=OPL"))</f>
        <v>0</v>
      </c>
      <c r="AE5" s="4">
        <f t="shared" si="6"/>
        <v>0</v>
      </c>
    </row>
    <row r="6" spans="1:31" x14ac:dyDescent="0.25">
      <c r="A6" s="100" t="str">
        <f t="shared" si="0"/>
        <v>Donderdag</v>
      </c>
      <c r="B6" s="226">
        <f t="shared" si="7"/>
        <v>46177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23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>IF(W$32=Z5,"",Z5+1)</f>
        <v>25</v>
      </c>
      <c r="AA6" s="200">
        <f t="shared" si="9"/>
        <v>0</v>
      </c>
      <c r="AB6" s="200">
        <f t="shared" si="10"/>
        <v>0</v>
      </c>
      <c r="AC6" s="168">
        <f t="shared" si="11"/>
        <v>0</v>
      </c>
      <c r="AD6" s="237">
        <f t="shared" si="12"/>
        <v>0</v>
      </c>
      <c r="AE6" s="4">
        <f t="shared" si="6"/>
        <v>0</v>
      </c>
    </row>
    <row r="7" spans="1:31" ht="15" customHeight="1" x14ac:dyDescent="0.25">
      <c r="A7" s="100" t="str">
        <f t="shared" si="0"/>
        <v>Vrijdag</v>
      </c>
      <c r="B7" s="226">
        <f t="shared" si="7"/>
        <v>46178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23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>IF(W$32=Z6,"",Z6+1)</f>
        <v>26</v>
      </c>
      <c r="AA7" s="200">
        <f t="shared" si="9"/>
        <v>0</v>
      </c>
      <c r="AB7" s="200">
        <f t="shared" si="10"/>
        <v>0</v>
      </c>
      <c r="AC7" s="168">
        <f t="shared" si="11"/>
        <v>0</v>
      </c>
      <c r="AD7" s="237">
        <f t="shared" si="12"/>
        <v>0</v>
      </c>
      <c r="AE7" s="4">
        <f t="shared" si="6"/>
        <v>0</v>
      </c>
    </row>
    <row r="8" spans="1:31" x14ac:dyDescent="0.25">
      <c r="A8" s="100" t="str">
        <f t="shared" si="0"/>
        <v>Zaterdag</v>
      </c>
      <c r="B8" s="226">
        <f t="shared" si="7"/>
        <v>46179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4"/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23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>IF(W$32=Z7,"",Z7+1)</f>
        <v>27</v>
      </c>
      <c r="AA8" s="200">
        <f t="shared" si="9"/>
        <v>0</v>
      </c>
      <c r="AB8" s="200">
        <f t="shared" si="10"/>
        <v>0</v>
      </c>
      <c r="AC8" s="168">
        <f t="shared" si="11"/>
        <v>0</v>
      </c>
      <c r="AD8" s="237">
        <f t="shared" si="12"/>
        <v>0</v>
      </c>
      <c r="AE8" s="4">
        <f t="shared" si="6"/>
        <v>0</v>
      </c>
    </row>
    <row r="9" spans="1:31" ht="16.5" thickBot="1" x14ac:dyDescent="0.3">
      <c r="A9" s="100" t="str">
        <f t="shared" si="0"/>
        <v>Zondag</v>
      </c>
      <c r="B9" s="226">
        <f t="shared" si="7"/>
        <v>46180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23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>IF(W$32=Z8,"",Z8+1)</f>
        <v/>
      </c>
      <c r="AA9" s="166" t="str">
        <f t="shared" si="9"/>
        <v/>
      </c>
      <c r="AB9" s="166" t="str">
        <f t="shared" si="10"/>
        <v/>
      </c>
      <c r="AC9" s="64" t="str">
        <f t="shared" si="11"/>
        <v/>
      </c>
      <c r="AD9" s="239" t="str">
        <f t="shared" si="12"/>
        <v/>
      </c>
      <c r="AE9" s="4">
        <f t="shared" si="6"/>
        <v>0</v>
      </c>
    </row>
    <row r="10" spans="1:31" ht="16.5" thickBot="1" x14ac:dyDescent="0.3">
      <c r="A10" s="100" t="str">
        <f t="shared" si="0"/>
        <v>Maandag</v>
      </c>
      <c r="B10" s="226">
        <f t="shared" si="7"/>
        <v>46181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24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6.5" thickBot="1" x14ac:dyDescent="0.3">
      <c r="A11" s="100" t="str">
        <f t="shared" si="0"/>
        <v>Dinsdag</v>
      </c>
      <c r="B11" s="226">
        <f t="shared" si="7"/>
        <v>46182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4"/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24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0"/>
        <v>Woensdag</v>
      </c>
      <c r="B12" s="226">
        <f t="shared" si="7"/>
        <v>46183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4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24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3">Z4</f>
        <v>23</v>
      </c>
      <c r="AA12" s="207">
        <f t="shared" ref="AA12:AC17" si="14">IF(AA4="","",AA4*24)</f>
        <v>0</v>
      </c>
      <c r="AB12" s="207">
        <f t="shared" si="14"/>
        <v>0</v>
      </c>
      <c r="AC12" s="203">
        <f t="shared" si="14"/>
        <v>0</v>
      </c>
      <c r="AE12" s="4">
        <f t="shared" si="6"/>
        <v>0</v>
      </c>
    </row>
    <row r="13" spans="1:31" x14ac:dyDescent="0.25">
      <c r="A13" s="100" t="str">
        <f t="shared" si="0"/>
        <v>Donderdag</v>
      </c>
      <c r="B13" s="226">
        <f t="shared" si="7"/>
        <v>46184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4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24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3"/>
        <v>24</v>
      </c>
      <c r="AA13" s="208">
        <f t="shared" si="14"/>
        <v>0</v>
      </c>
      <c r="AB13" s="208">
        <f t="shared" si="14"/>
        <v>0</v>
      </c>
      <c r="AC13" s="204">
        <f t="shared" si="14"/>
        <v>0</v>
      </c>
      <c r="AE13" s="4">
        <f t="shared" si="6"/>
        <v>0</v>
      </c>
    </row>
    <row r="14" spans="1:31" x14ac:dyDescent="0.25">
      <c r="A14" s="100" t="str">
        <f t="shared" si="0"/>
        <v>Vrijdag</v>
      </c>
      <c r="B14" s="226">
        <f t="shared" si="7"/>
        <v>46185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4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24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3"/>
        <v>25</v>
      </c>
      <c r="AA14" s="208">
        <f t="shared" si="14"/>
        <v>0</v>
      </c>
      <c r="AB14" s="208">
        <f t="shared" si="14"/>
        <v>0</v>
      </c>
      <c r="AC14" s="204">
        <f t="shared" si="14"/>
        <v>0</v>
      </c>
      <c r="AE14" s="4">
        <f t="shared" si="6"/>
        <v>0</v>
      </c>
    </row>
    <row r="15" spans="1:31" x14ac:dyDescent="0.25">
      <c r="A15" s="100" t="str">
        <f t="shared" si="0"/>
        <v>Zaterdag</v>
      </c>
      <c r="B15" s="226">
        <f t="shared" si="7"/>
        <v>46186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4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24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3"/>
        <v>26</v>
      </c>
      <c r="AA15" s="208">
        <f t="shared" si="14"/>
        <v>0</v>
      </c>
      <c r="AB15" s="208">
        <f t="shared" si="14"/>
        <v>0</v>
      </c>
      <c r="AC15" s="204">
        <f t="shared" si="14"/>
        <v>0</v>
      </c>
      <c r="AE15" s="4">
        <f t="shared" si="6"/>
        <v>0</v>
      </c>
    </row>
    <row r="16" spans="1:31" x14ac:dyDescent="0.25">
      <c r="A16" s="100" t="str">
        <f t="shared" si="0"/>
        <v>Zondag</v>
      </c>
      <c r="B16" s="226">
        <f t="shared" si="7"/>
        <v>46187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4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24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3"/>
        <v>27</v>
      </c>
      <c r="AA16" s="208">
        <f t="shared" si="14"/>
        <v>0</v>
      </c>
      <c r="AB16" s="208">
        <f t="shared" si="14"/>
        <v>0</v>
      </c>
      <c r="AC16" s="204">
        <f t="shared" si="14"/>
        <v>0</v>
      </c>
      <c r="AE16" s="4">
        <f t="shared" si="6"/>
        <v>0</v>
      </c>
    </row>
    <row r="17" spans="1:31" ht="16.5" thickBot="1" x14ac:dyDescent="0.3">
      <c r="A17" s="100" t="str">
        <f t="shared" si="0"/>
        <v>Maandag</v>
      </c>
      <c r="B17" s="226">
        <f t="shared" si="7"/>
        <v>46188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25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3"/>
        <v/>
      </c>
      <c r="AA17" s="209" t="str">
        <f t="shared" si="14"/>
        <v/>
      </c>
      <c r="AB17" s="209" t="str">
        <f t="shared" si="14"/>
        <v/>
      </c>
      <c r="AC17" s="205" t="str">
        <f t="shared" si="14"/>
        <v/>
      </c>
      <c r="AE17" s="4">
        <f t="shared" si="6"/>
        <v>0</v>
      </c>
    </row>
    <row r="18" spans="1:31" x14ac:dyDescent="0.25">
      <c r="A18" s="100" t="str">
        <f t="shared" si="0"/>
        <v>Dinsdag</v>
      </c>
      <c r="B18" s="226">
        <f t="shared" si="7"/>
        <v>46189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25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6"/>
        <v>0</v>
      </c>
    </row>
    <row r="19" spans="1:31" x14ac:dyDescent="0.25">
      <c r="A19" s="100" t="str">
        <f t="shared" si="0"/>
        <v>Woensdag</v>
      </c>
      <c r="B19" s="226">
        <f t="shared" si="7"/>
        <v>46190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25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6"/>
        <v>0</v>
      </c>
    </row>
    <row r="20" spans="1:31" x14ac:dyDescent="0.25">
      <c r="A20" s="100" t="str">
        <f t="shared" si="0"/>
        <v>Donderdag</v>
      </c>
      <c r="B20" s="226">
        <f t="shared" si="7"/>
        <v>46191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25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6"/>
        <v>0</v>
      </c>
    </row>
    <row r="21" spans="1:31" x14ac:dyDescent="0.25">
      <c r="A21" s="100" t="str">
        <f t="shared" si="0"/>
        <v>Vrijdag</v>
      </c>
      <c r="B21" s="226">
        <f t="shared" si="7"/>
        <v>46192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25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6"/>
        <v>0</v>
      </c>
    </row>
    <row r="22" spans="1:31" ht="16.5" customHeight="1" x14ac:dyDescent="0.25">
      <c r="A22" s="100" t="str">
        <f t="shared" si="0"/>
        <v>Zaterdag</v>
      </c>
      <c r="B22" s="226">
        <f t="shared" si="7"/>
        <v>46193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25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6"/>
        <v>0</v>
      </c>
    </row>
    <row r="23" spans="1:31" x14ac:dyDescent="0.25">
      <c r="A23" s="100" t="str">
        <f t="shared" si="0"/>
        <v>Zondag</v>
      </c>
      <c r="B23" s="226">
        <f t="shared" si="7"/>
        <v>46194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25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6"/>
        <v>0</v>
      </c>
    </row>
    <row r="24" spans="1:31" x14ac:dyDescent="0.25">
      <c r="A24" s="100" t="str">
        <f t="shared" si="0"/>
        <v>Maandag</v>
      </c>
      <c r="B24" s="226">
        <f t="shared" si="7"/>
        <v>46195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26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6"/>
        <v>0</v>
      </c>
    </row>
    <row r="25" spans="1:31" x14ac:dyDescent="0.25">
      <c r="A25" s="100" t="str">
        <f t="shared" si="0"/>
        <v>Dinsdag</v>
      </c>
      <c r="B25" s="226">
        <f t="shared" si="7"/>
        <v>46196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26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6"/>
        <v>0</v>
      </c>
    </row>
    <row r="26" spans="1:31" x14ac:dyDescent="0.25">
      <c r="A26" s="100" t="str">
        <f t="shared" si="0"/>
        <v>Woensdag</v>
      </c>
      <c r="B26" s="226">
        <f t="shared" si="7"/>
        <v>46197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26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6"/>
        <v>0</v>
      </c>
    </row>
    <row r="27" spans="1:31" x14ac:dyDescent="0.25">
      <c r="A27" s="100" t="str">
        <f t="shared" si="0"/>
        <v>Donderdag</v>
      </c>
      <c r="B27" s="226">
        <f t="shared" si="7"/>
        <v>46198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26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6"/>
        <v>0</v>
      </c>
    </row>
    <row r="28" spans="1:31" x14ac:dyDescent="0.25">
      <c r="A28" s="100" t="str">
        <f t="shared" si="0"/>
        <v>Vrijdag</v>
      </c>
      <c r="B28" s="226">
        <f t="shared" si="7"/>
        <v>46199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26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6"/>
        <v>0</v>
      </c>
    </row>
    <row r="29" spans="1:31" x14ac:dyDescent="0.25">
      <c r="A29" s="100" t="str">
        <f t="shared" si="0"/>
        <v>Zaterdag</v>
      </c>
      <c r="B29" s="226">
        <f t="shared" si="7"/>
        <v>46200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26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6"/>
        <v>0</v>
      </c>
    </row>
    <row r="30" spans="1:31" x14ac:dyDescent="0.25">
      <c r="A30" s="100" t="str">
        <f t="shared" si="0"/>
        <v>Zondag</v>
      </c>
      <c r="B30" s="226">
        <f t="shared" si="7"/>
        <v>46201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26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6"/>
        <v>0</v>
      </c>
    </row>
    <row r="31" spans="1:31" x14ac:dyDescent="0.25">
      <c r="A31" s="100" t="str">
        <f t="shared" si="0"/>
        <v>Maandag</v>
      </c>
      <c r="B31" s="226">
        <f t="shared" si="7"/>
        <v>46202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27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6"/>
        <v>0</v>
      </c>
    </row>
    <row r="32" spans="1:31" x14ac:dyDescent="0.25">
      <c r="A32" s="100" t="str">
        <f t="shared" si="0"/>
        <v>Dinsdag</v>
      </c>
      <c r="B32" s="226">
        <f t="shared" si="7"/>
        <v>46203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27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6"/>
        <v>0</v>
      </c>
    </row>
    <row r="33" spans="1:31" x14ac:dyDescent="0.25">
      <c r="A33" s="2"/>
      <c r="B33" s="8"/>
      <c r="C33" s="8"/>
      <c r="D33" s="5"/>
      <c r="E33" s="5"/>
      <c r="F33" s="5"/>
      <c r="G33" s="5"/>
      <c r="H33" s="5"/>
      <c r="I33" s="5"/>
      <c r="J33" s="188"/>
      <c r="K33" s="3"/>
      <c r="L33" s="40"/>
      <c r="M33" s="150"/>
      <c r="N33" s="44" t="str">
        <f t="shared" si="2"/>
        <v/>
      </c>
      <c r="O33" s="3"/>
      <c r="P33" s="6"/>
      <c r="Q33" s="7"/>
      <c r="T33" s="2"/>
      <c r="U33" s="41"/>
      <c r="W33" s="230"/>
      <c r="Z33" s="309"/>
      <c r="AA33" s="309"/>
      <c r="AB33" s="309"/>
      <c r="AC33" s="309"/>
    </row>
    <row r="34" spans="1:31" x14ac:dyDescent="0.25">
      <c r="A34" s="14"/>
      <c r="B34" s="8"/>
      <c r="C34" s="8"/>
      <c r="D34" s="5"/>
      <c r="E34" s="5"/>
      <c r="F34" s="5"/>
      <c r="H34" s="5"/>
      <c r="I34" s="93" t="s">
        <v>15</v>
      </c>
      <c r="K34" s="17">
        <f t="shared" ref="K34:Y34" si="15">SUM(K3:K32)</f>
        <v>0</v>
      </c>
      <c r="L34" s="98">
        <f t="shared" si="15"/>
        <v>0</v>
      </c>
      <c r="M34" s="89">
        <f t="shared" ref="M34:N34" si="16">SUM(M3:M33)</f>
        <v>0</v>
      </c>
      <c r="N34" s="76">
        <f t="shared" si="16"/>
        <v>0</v>
      </c>
      <c r="O34" s="17">
        <f t="shared" si="15"/>
        <v>0</v>
      </c>
      <c r="P34" s="15">
        <f t="shared" si="15"/>
        <v>0</v>
      </c>
      <c r="Q34" s="16">
        <f t="shared" si="15"/>
        <v>0</v>
      </c>
      <c r="R34" s="169">
        <f t="shared" si="15"/>
        <v>0</v>
      </c>
      <c r="S34" s="169">
        <f t="shared" ref="S34" si="17">SUM(S3:S32)</f>
        <v>0</v>
      </c>
      <c r="T34" s="31"/>
      <c r="V34" s="31"/>
      <c r="W34" s="233"/>
      <c r="X34" s="32">
        <f t="shared" si="15"/>
        <v>0</v>
      </c>
      <c r="Y34" s="32">
        <f t="shared" si="15"/>
        <v>0</v>
      </c>
      <c r="Z34" s="309"/>
      <c r="AA34" s="309"/>
      <c r="AB34" s="309"/>
      <c r="AC34" s="309"/>
      <c r="AE34" s="4">
        <f>SUM(AE3:AE32)</f>
        <v>0</v>
      </c>
    </row>
    <row r="35" spans="1:3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190"/>
      <c r="K35" s="41"/>
      <c r="L35" s="99"/>
      <c r="M35" s="306" t="s">
        <v>112</v>
      </c>
      <c r="N35" s="307"/>
      <c r="O35" s="41"/>
      <c r="P35" s="88"/>
      <c r="Q35" s="43"/>
      <c r="R35" s="293">
        <f>R34+S34</f>
        <v>0</v>
      </c>
      <c r="S35" s="294"/>
      <c r="T35" s="41"/>
      <c r="U35" s="141"/>
      <c r="W35" s="230"/>
      <c r="Z35" s="309"/>
      <c r="AA35" s="309"/>
      <c r="AB35" s="309"/>
      <c r="AC35" s="309"/>
    </row>
    <row r="36" spans="1:31" x14ac:dyDescent="0.25">
      <c r="A36" s="41"/>
      <c r="B36" s="41"/>
      <c r="C36" s="41"/>
      <c r="D36" s="41"/>
      <c r="E36" s="80"/>
      <c r="F36" s="80"/>
      <c r="G36" s="41"/>
      <c r="H36" s="41"/>
      <c r="I36" s="41"/>
      <c r="K36" s="41"/>
      <c r="L36" s="79"/>
      <c r="M36" s="292" t="s">
        <v>111</v>
      </c>
      <c r="N36" s="292"/>
      <c r="O36" s="84"/>
      <c r="P36" s="84"/>
      <c r="Q36" s="80"/>
      <c r="R36" s="293"/>
      <c r="S36" s="294"/>
      <c r="T36" s="41"/>
      <c r="W36" s="230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80"/>
      <c r="H37" s="41"/>
      <c r="I37" s="41"/>
      <c r="K37" s="80"/>
      <c r="L37" s="79"/>
      <c r="M37" s="292" t="s">
        <v>113</v>
      </c>
      <c r="N37" s="292"/>
      <c r="O37" s="41"/>
      <c r="P37" s="88"/>
      <c r="Q37" s="43"/>
      <c r="R37" s="293">
        <f>((R35*Basisgegevens!D44)-(R36*Basisgegevens!D47))/Basisgegevens!D44</f>
        <v>0</v>
      </c>
      <c r="S37" s="294"/>
      <c r="T37" s="41"/>
      <c r="W37" s="230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41"/>
      <c r="H38" s="41"/>
      <c r="I38" s="41"/>
      <c r="K38" s="41"/>
      <c r="L38" s="79"/>
      <c r="M38" s="4"/>
      <c r="O38" s="41"/>
      <c r="P38" s="88"/>
      <c r="Q38" s="43"/>
      <c r="R38" s="46"/>
      <c r="S38" s="46"/>
      <c r="T38" s="41"/>
    </row>
    <row r="39" spans="1:31" x14ac:dyDescent="0.25">
      <c r="A39" s="41"/>
      <c r="B39" s="41"/>
      <c r="C39" s="41"/>
      <c r="D39" s="41"/>
      <c r="E39" s="41"/>
      <c r="F39" s="41"/>
      <c r="G39" s="41"/>
      <c r="H39" s="41"/>
      <c r="I39" s="41"/>
      <c r="K39" s="41"/>
      <c r="L39" s="43"/>
      <c r="O39" s="41"/>
      <c r="P39" s="88"/>
      <c r="Q39" s="43"/>
      <c r="R39" s="46"/>
      <c r="S39" s="46"/>
      <c r="T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79"/>
      <c r="O40" s="41"/>
      <c r="P40" s="41"/>
      <c r="Q40" s="41"/>
      <c r="R40" s="46"/>
      <c r="S40" s="46"/>
      <c r="T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8"/>
      <c r="O41" s="41"/>
      <c r="P41" s="88"/>
      <c r="Q41" s="43"/>
      <c r="R41" s="46"/>
      <c r="S41" s="46"/>
      <c r="T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43"/>
      <c r="O42" s="41"/>
      <c r="P42" s="88"/>
      <c r="Q42" s="43"/>
      <c r="R42" s="46"/>
      <c r="S42" s="46"/>
      <c r="T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M43" s="4"/>
      <c r="O43" s="41"/>
      <c r="P43" s="88"/>
      <c r="Q43" s="43"/>
      <c r="R43" s="46"/>
      <c r="S43" s="46"/>
      <c r="T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O45" s="41"/>
      <c r="P45" s="88"/>
      <c r="Q45" s="43"/>
      <c r="R45" s="46"/>
      <c r="S45" s="46"/>
      <c r="T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41"/>
    </row>
    <row r="49" spans="1:20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41"/>
    </row>
    <row r="50" spans="1:20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41"/>
    </row>
    <row r="51" spans="1:20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41"/>
    </row>
    <row r="52" spans="1:20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41"/>
    </row>
    <row r="53" spans="1:20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41"/>
    </row>
    <row r="54" spans="1:20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41"/>
    </row>
    <row r="55" spans="1:20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41"/>
    </row>
    <row r="56" spans="1:20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6"/>
      <c r="S56" s="46"/>
      <c r="T56" s="41"/>
    </row>
    <row r="57" spans="1:20" x14ac:dyDescent="0.25">
      <c r="A57" s="41"/>
      <c r="B57" s="41"/>
      <c r="C57" s="41"/>
      <c r="D57" s="41"/>
      <c r="E57" s="41"/>
      <c r="F57" s="41"/>
      <c r="G57" s="41"/>
      <c r="H57" s="41"/>
      <c r="I57" s="41"/>
      <c r="K57" s="41"/>
      <c r="L57" s="80"/>
      <c r="O57" s="41"/>
      <c r="P57" s="88"/>
      <c r="Q57" s="43"/>
      <c r="R57" s="46"/>
      <c r="S57" s="46"/>
      <c r="T57" s="41"/>
    </row>
    <row r="58" spans="1:20" x14ac:dyDescent="0.25">
      <c r="A58" s="41"/>
      <c r="B58" s="41"/>
      <c r="C58" s="41"/>
      <c r="D58" s="41"/>
      <c r="E58" s="41"/>
      <c r="F58" s="41"/>
      <c r="G58" s="41"/>
      <c r="H58" s="41"/>
      <c r="I58" s="41"/>
      <c r="K58" s="41"/>
      <c r="L58" s="80"/>
      <c r="O58" s="41"/>
      <c r="P58" s="88"/>
      <c r="Q58" s="43"/>
      <c r="R58" s="46"/>
      <c r="S58" s="46"/>
      <c r="T58" s="41"/>
    </row>
    <row r="59" spans="1:20" x14ac:dyDescent="0.25">
      <c r="A59" s="41"/>
      <c r="B59" s="41"/>
      <c r="C59" s="41"/>
      <c r="D59" s="41"/>
      <c r="E59" s="41"/>
      <c r="F59" s="41"/>
      <c r="G59" s="41"/>
      <c r="H59" s="41"/>
      <c r="I59" s="41"/>
      <c r="K59" s="41"/>
      <c r="L59" s="80"/>
      <c r="O59" s="41"/>
      <c r="P59" s="88"/>
      <c r="Q59" s="43"/>
      <c r="R59" s="46"/>
      <c r="S59" s="46"/>
      <c r="T59" s="41"/>
    </row>
    <row r="60" spans="1:20" x14ac:dyDescent="0.25">
      <c r="A60" s="41"/>
      <c r="B60" s="41"/>
      <c r="C60" s="41"/>
      <c r="D60" s="41"/>
      <c r="E60" s="41"/>
      <c r="F60" s="41"/>
      <c r="G60" s="41"/>
      <c r="H60" s="41"/>
      <c r="I60" s="41"/>
      <c r="K60" s="41"/>
      <c r="L60" s="80"/>
      <c r="O60" s="41"/>
      <c r="P60" s="88"/>
      <c r="Q60" s="43"/>
      <c r="R60" s="46"/>
      <c r="S60" s="46"/>
      <c r="T60" s="41"/>
    </row>
  </sheetData>
  <mergeCells count="17">
    <mergeCell ref="W1:W2"/>
    <mergeCell ref="Z18:AC37"/>
    <mergeCell ref="U1:U2"/>
    <mergeCell ref="M36:N36"/>
    <mergeCell ref="M37:N37"/>
    <mergeCell ref="R36:S36"/>
    <mergeCell ref="R37:S37"/>
    <mergeCell ref="A1:B2"/>
    <mergeCell ref="C1:G1"/>
    <mergeCell ref="T1:T2"/>
    <mergeCell ref="V1:V2"/>
    <mergeCell ref="M35:N35"/>
    <mergeCell ref="K1:L1"/>
    <mergeCell ref="H1:I1"/>
    <mergeCell ref="R35:S35"/>
    <mergeCell ref="J1:J2"/>
    <mergeCell ref="M1:N1"/>
  </mergeCells>
  <phoneticPr fontId="0" type="noConversion"/>
  <conditionalFormatting sqref="A3:W32">
    <cfRule type="expression" dxfId="19" priority="1" stopIfTrue="1">
      <formula>WEEKDAY($B3)=7</formula>
    </cfRule>
    <cfRule type="expression" dxfId="18" priority="2" stopIfTrue="1">
      <formula>WEEKDAY($B3)=1</formula>
    </cfRule>
  </conditionalFormatting>
  <dataValidations count="1">
    <dataValidation type="list" allowBlank="1" sqref="H3:H32" xr:uid="{00000000-0002-0000-05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8">
    <pageSetUpPr fitToPage="1"/>
  </sheetPr>
  <dimension ref="A1:AE57"/>
  <sheetViews>
    <sheetView zoomScaleNormal="100" workbookViewId="0">
      <pane ySplit="2" topLeftCell="A3" activePane="bottomLeft" state="frozen"/>
      <selection activeCell="F48" sqref="F48"/>
      <selection pane="bottomLeft" activeCell="H25" sqref="H25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10" customWidth="1"/>
    <col min="20" max="20" width="17.375" style="2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2" si="0">IF(WEEKDAY(B3)=1,"Zondag",IF(WEEKDAY(B3)=2,"Maandag",IF(WEEKDAY(B3)=3,"Dinsdag",IF(WEEKDAY(B3)=4,"Woensdag",IF(WEEKDAY(B3)=5,"Donderdag",IF(WEEKDAY(B3)=6,"Vrijdag","Zaterdag"))))))</f>
        <v>Woensdag</v>
      </c>
      <c r="B3" s="226">
        <f>Jun!B32+1</f>
        <v>46204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27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Donderdag</v>
      </c>
      <c r="B4" s="226">
        <f>B3+1</f>
        <v>46205</v>
      </c>
      <c r="C4" s="149"/>
      <c r="D4" s="149"/>
      <c r="E4" s="149"/>
      <c r="F4" s="149"/>
      <c r="G4" s="149"/>
      <c r="H4" s="79"/>
      <c r="I4" s="149"/>
      <c r="J4" s="188" t="str">
        <f t="shared" ref="J4:J33" si="3">IF(I4="","",IF(HOUR(I4)&lt;5,0.5,1))</f>
        <v/>
      </c>
      <c r="K4" s="150">
        <f>IF(Basisgegevens!$F$1="JA",IF(D4="",0,(1-D4)+(E4)-G4),(E4-D4)-G4)</f>
        <v>0</v>
      </c>
      <c r="L4" s="44" t="str">
        <f t="shared" ref="L4:L33" si="4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3" si="5">IF(WEEKDAY(B4)=1,(WEEKNUM(DATE(YEAR(B4),MONTH(B4),DAY(B4)),)-1),WEEKNUM(DATE(YEAR(B4),MONTH(B4),DAY(B4)),))</f>
        <v>27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LOOKUP(SMALL(W3:W33,1),W3:W33,W3:W33)</f>
        <v>27</v>
      </c>
      <c r="AA4" s="210">
        <f>IF($Z4="","",SUMIFS($K$3:$K$33,$W$3:$W$33,$Z4,$A$3:$A$33,"&lt;&gt;Zaterdag",$A$3:$A$33,"&lt;&gt;Zondag"))</f>
        <v>0</v>
      </c>
      <c r="AB4" s="199">
        <f>IF(Z4="","",SUMIFS(K$3:K$33,W$3:W$33,Z4,A$3:A$33,"&lt;&gt;Zaterdag",A$3:A$33,"&lt;&gt;Zondag")+SUMIFS(I$3:I$33,W$3:W$33,Z4,A$3:A$33,"&lt;&gt;Zaterdag",A$3:A$33,"&lt;&gt;Zondag"))</f>
        <v>0</v>
      </c>
      <c r="AC4" s="167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6">IF(L4="",0,IF(L4&gt;=5,1,0))</f>
        <v>0</v>
      </c>
    </row>
    <row r="5" spans="1:31" ht="15" customHeight="1" x14ac:dyDescent="0.25">
      <c r="A5" s="100" t="str">
        <f t="shared" si="0"/>
        <v>Vrijdag</v>
      </c>
      <c r="B5" s="226">
        <f t="shared" ref="B5:B33" si="7">B4+1</f>
        <v>46206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3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27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28</v>
      </c>
      <c r="AA5" s="211">
        <f t="shared" ref="AA5:AA9" si="9">IF($Z5="","",SUMIFS($K$3:$K$33,$W$3:$W$33,$Z5,$A$3:$A$33,"&lt;&gt;Zaterdag",$A$3:$A$33,"&lt;&gt;Zondag"))</f>
        <v>0</v>
      </c>
      <c r="AB5" s="200">
        <f t="shared" ref="AB5:AB9" si="10">IF(Z5="","",SUMIFS(K$3:K$33,W$3:W$33,Z5,A$3:A$33,"&lt;&gt;Zaterdag",A$3:A$33,"&lt;&gt;Zondag")+SUMIFS(I$3:I$33,W$3:W$33,Z5,A$3:A$33,"&lt;&gt;Zaterdag",A$3:A$33,"&lt;&gt;Zondag"))</f>
        <v>0</v>
      </c>
      <c r="AC5" s="168">
        <f>IF($Z5="","",SUMIFS($M$3:$M$33,$W$3:$W$33,$Z5,$A$3:$A$33,"&lt;&gt;Zaterdag",$A$3:$A$33,"&lt;&gt;Zondag"))</f>
        <v>0</v>
      </c>
      <c r="AD5" s="238">
        <f t="shared" ref="AD5:AD9" si="11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6"/>
        <v>0</v>
      </c>
    </row>
    <row r="6" spans="1:31" x14ac:dyDescent="0.25">
      <c r="A6" s="100" t="str">
        <f t="shared" si="0"/>
        <v>Zaterdag</v>
      </c>
      <c r="B6" s="226">
        <f t="shared" si="7"/>
        <v>46207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27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 t="shared" ref="Z6:Z9" si="12">IF(W$33=Z5,"",Z5+1)</f>
        <v>29</v>
      </c>
      <c r="AA6" s="211">
        <f t="shared" si="9"/>
        <v>0</v>
      </c>
      <c r="AB6" s="200">
        <f t="shared" si="10"/>
        <v>0</v>
      </c>
      <c r="AC6" s="168">
        <f t="shared" ref="AC6:AC9" si="13">IF($Z6="","",SUMIFS($M$3:$M$33,$W$3:$W$33,$Z6,$A$3:$A$33,"&lt;&gt;Zaterdag",$A$3:$A$33,"&lt;&gt;Zondag"))</f>
        <v>0</v>
      </c>
      <c r="AD6" s="238">
        <f t="shared" si="11"/>
        <v>0</v>
      </c>
      <c r="AE6" s="4">
        <f t="shared" si="6"/>
        <v>0</v>
      </c>
    </row>
    <row r="7" spans="1:31" x14ac:dyDescent="0.25">
      <c r="A7" s="100" t="str">
        <f t="shared" si="0"/>
        <v>Zondag</v>
      </c>
      <c r="B7" s="226">
        <f t="shared" si="7"/>
        <v>46208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27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 t="shared" si="12"/>
        <v>30</v>
      </c>
      <c r="AA7" s="211">
        <f t="shared" si="9"/>
        <v>0</v>
      </c>
      <c r="AB7" s="200">
        <f t="shared" si="10"/>
        <v>0</v>
      </c>
      <c r="AC7" s="168">
        <f t="shared" si="13"/>
        <v>0</v>
      </c>
      <c r="AD7" s="238">
        <f t="shared" si="11"/>
        <v>0</v>
      </c>
      <c r="AE7" s="4">
        <f t="shared" si="6"/>
        <v>0</v>
      </c>
    </row>
    <row r="8" spans="1:31" x14ac:dyDescent="0.25">
      <c r="A8" s="100" t="str">
        <f t="shared" si="0"/>
        <v>Maandag</v>
      </c>
      <c r="B8" s="226">
        <f t="shared" si="7"/>
        <v>46209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4"/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28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 t="shared" si="12"/>
        <v>31</v>
      </c>
      <c r="AA8" s="211">
        <f t="shared" si="9"/>
        <v>0</v>
      </c>
      <c r="AB8" s="200">
        <f t="shared" si="10"/>
        <v>0</v>
      </c>
      <c r="AC8" s="168">
        <f t="shared" si="13"/>
        <v>0</v>
      </c>
      <c r="AD8" s="238">
        <f t="shared" si="11"/>
        <v>0</v>
      </c>
      <c r="AE8" s="4">
        <f t="shared" si="6"/>
        <v>0</v>
      </c>
    </row>
    <row r="9" spans="1:31" ht="16.5" thickBot="1" x14ac:dyDescent="0.3">
      <c r="A9" s="100" t="str">
        <f t="shared" si="0"/>
        <v>Dinsdag</v>
      </c>
      <c r="B9" s="226">
        <f t="shared" si="7"/>
        <v>46210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28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 t="shared" si="12"/>
        <v/>
      </c>
      <c r="AA9" s="212" t="str">
        <f t="shared" si="9"/>
        <v/>
      </c>
      <c r="AB9" s="166" t="str">
        <f t="shared" si="10"/>
        <v/>
      </c>
      <c r="AC9" s="64" t="str">
        <f t="shared" si="13"/>
        <v/>
      </c>
      <c r="AD9" s="239" t="str">
        <f t="shared" si="11"/>
        <v/>
      </c>
      <c r="AE9" s="4">
        <f t="shared" si="6"/>
        <v>0</v>
      </c>
    </row>
    <row r="10" spans="1:31" ht="16.5" thickBot="1" x14ac:dyDescent="0.3">
      <c r="A10" s="100" t="str">
        <f t="shared" si="0"/>
        <v>Woensdag</v>
      </c>
      <c r="B10" s="226">
        <f t="shared" si="7"/>
        <v>46211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28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6.5" thickBot="1" x14ac:dyDescent="0.3">
      <c r="A11" s="100" t="str">
        <f t="shared" si="0"/>
        <v>Donderdag</v>
      </c>
      <c r="B11" s="226">
        <f t="shared" si="7"/>
        <v>46212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4"/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28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0"/>
        <v>Vrijdag</v>
      </c>
      <c r="B12" s="226">
        <f t="shared" si="7"/>
        <v>46213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4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28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4">Z4</f>
        <v>27</v>
      </c>
      <c r="AA12" s="207">
        <f t="shared" ref="AA12:AC17" si="15">IF(AA4="","",AA4*24)</f>
        <v>0</v>
      </c>
      <c r="AB12" s="207">
        <f t="shared" si="15"/>
        <v>0</v>
      </c>
      <c r="AC12" s="203">
        <f t="shared" si="15"/>
        <v>0</v>
      </c>
      <c r="AE12" s="4">
        <f t="shared" si="6"/>
        <v>0</v>
      </c>
    </row>
    <row r="13" spans="1:31" x14ac:dyDescent="0.25">
      <c r="A13" s="100" t="str">
        <f t="shared" si="0"/>
        <v>Zaterdag</v>
      </c>
      <c r="B13" s="226">
        <f t="shared" si="7"/>
        <v>46214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4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28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4"/>
        <v>28</v>
      </c>
      <c r="AA13" s="208">
        <f t="shared" si="15"/>
        <v>0</v>
      </c>
      <c r="AB13" s="208">
        <f t="shared" si="15"/>
        <v>0</v>
      </c>
      <c r="AC13" s="204">
        <f t="shared" si="15"/>
        <v>0</v>
      </c>
      <c r="AE13" s="4">
        <f t="shared" si="6"/>
        <v>0</v>
      </c>
    </row>
    <row r="14" spans="1:31" x14ac:dyDescent="0.25">
      <c r="A14" s="100" t="str">
        <f t="shared" si="0"/>
        <v>Zondag</v>
      </c>
      <c r="B14" s="226">
        <f t="shared" si="7"/>
        <v>46215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4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28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4"/>
        <v>29</v>
      </c>
      <c r="AA14" s="208">
        <f t="shared" si="15"/>
        <v>0</v>
      </c>
      <c r="AB14" s="208">
        <f t="shared" si="15"/>
        <v>0</v>
      </c>
      <c r="AC14" s="204">
        <f t="shared" si="15"/>
        <v>0</v>
      </c>
      <c r="AE14" s="4">
        <f t="shared" si="6"/>
        <v>0</v>
      </c>
    </row>
    <row r="15" spans="1:31" x14ac:dyDescent="0.25">
      <c r="A15" s="100" t="str">
        <f t="shared" si="0"/>
        <v>Maandag</v>
      </c>
      <c r="B15" s="226">
        <f t="shared" si="7"/>
        <v>46216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4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29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4"/>
        <v>30</v>
      </c>
      <c r="AA15" s="208">
        <f t="shared" si="15"/>
        <v>0</v>
      </c>
      <c r="AB15" s="208">
        <f t="shared" si="15"/>
        <v>0</v>
      </c>
      <c r="AC15" s="204">
        <f t="shared" si="15"/>
        <v>0</v>
      </c>
      <c r="AE15" s="4">
        <f t="shared" si="6"/>
        <v>0</v>
      </c>
    </row>
    <row r="16" spans="1:31" x14ac:dyDescent="0.25">
      <c r="A16" s="100" t="str">
        <f t="shared" si="0"/>
        <v>Dinsdag</v>
      </c>
      <c r="B16" s="226">
        <f t="shared" si="7"/>
        <v>46217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4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29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4"/>
        <v>31</v>
      </c>
      <c r="AA16" s="208">
        <f t="shared" si="15"/>
        <v>0</v>
      </c>
      <c r="AB16" s="208">
        <f t="shared" si="15"/>
        <v>0</v>
      </c>
      <c r="AC16" s="204">
        <f t="shared" si="15"/>
        <v>0</v>
      </c>
      <c r="AE16" s="4">
        <f t="shared" si="6"/>
        <v>0</v>
      </c>
    </row>
    <row r="17" spans="1:31" ht="16.5" thickBot="1" x14ac:dyDescent="0.3">
      <c r="A17" s="100" t="str">
        <f t="shared" si="0"/>
        <v>Woensdag</v>
      </c>
      <c r="B17" s="226">
        <f t="shared" si="7"/>
        <v>46218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29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4"/>
        <v/>
      </c>
      <c r="AA17" s="209" t="str">
        <f t="shared" si="15"/>
        <v/>
      </c>
      <c r="AB17" s="209" t="str">
        <f t="shared" si="15"/>
        <v/>
      </c>
      <c r="AC17" s="205" t="str">
        <f t="shared" si="15"/>
        <v/>
      </c>
      <c r="AE17" s="4">
        <f t="shared" si="6"/>
        <v>0</v>
      </c>
    </row>
    <row r="18" spans="1:31" x14ac:dyDescent="0.25">
      <c r="A18" s="100" t="str">
        <f t="shared" si="0"/>
        <v>Donderdag</v>
      </c>
      <c r="B18" s="226">
        <f t="shared" si="7"/>
        <v>46219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29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12"/>
      <c r="AA18" s="312"/>
      <c r="AB18" s="312"/>
      <c r="AC18" s="312"/>
      <c r="AE18" s="4">
        <f t="shared" si="6"/>
        <v>0</v>
      </c>
    </row>
    <row r="19" spans="1:31" x14ac:dyDescent="0.25">
      <c r="A19" s="100" t="str">
        <f t="shared" si="0"/>
        <v>Vrijdag</v>
      </c>
      <c r="B19" s="226">
        <f t="shared" si="7"/>
        <v>46220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29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13"/>
      <c r="AA19" s="313"/>
      <c r="AB19" s="313"/>
      <c r="AC19" s="313"/>
      <c r="AE19" s="4">
        <f t="shared" si="6"/>
        <v>0</v>
      </c>
    </row>
    <row r="20" spans="1:31" x14ac:dyDescent="0.25">
      <c r="A20" s="100" t="str">
        <f t="shared" si="0"/>
        <v>Zaterdag</v>
      </c>
      <c r="B20" s="226">
        <f t="shared" si="7"/>
        <v>46221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29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13"/>
      <c r="AA20" s="313"/>
      <c r="AB20" s="313"/>
      <c r="AC20" s="313"/>
      <c r="AE20" s="4">
        <f t="shared" si="6"/>
        <v>0</v>
      </c>
    </row>
    <row r="21" spans="1:31" x14ac:dyDescent="0.25">
      <c r="A21" s="100" t="str">
        <f t="shared" si="0"/>
        <v>Zondag</v>
      </c>
      <c r="B21" s="226">
        <f t="shared" si="7"/>
        <v>46222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29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13"/>
      <c r="AA21" s="313"/>
      <c r="AB21" s="313"/>
      <c r="AC21" s="313"/>
      <c r="AE21" s="4">
        <f t="shared" si="6"/>
        <v>0</v>
      </c>
    </row>
    <row r="22" spans="1:31" x14ac:dyDescent="0.25">
      <c r="A22" s="100" t="str">
        <f t="shared" si="0"/>
        <v>Maandag</v>
      </c>
      <c r="B22" s="226">
        <f t="shared" si="7"/>
        <v>46223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30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13"/>
      <c r="AA22" s="313"/>
      <c r="AB22" s="313"/>
      <c r="AC22" s="313"/>
      <c r="AE22" s="4">
        <f t="shared" si="6"/>
        <v>0</v>
      </c>
    </row>
    <row r="23" spans="1:31" x14ac:dyDescent="0.25">
      <c r="A23" s="100" t="str">
        <f t="shared" si="0"/>
        <v>Dinsdag</v>
      </c>
      <c r="B23" s="226">
        <f t="shared" si="7"/>
        <v>46224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>FD</v>
      </c>
      <c r="W23" s="220">
        <f t="shared" si="5"/>
        <v>30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13"/>
      <c r="AA23" s="313"/>
      <c r="AB23" s="313"/>
      <c r="AC23" s="313"/>
      <c r="AE23" s="4">
        <f t="shared" si="6"/>
        <v>0</v>
      </c>
    </row>
    <row r="24" spans="1:31" x14ac:dyDescent="0.25">
      <c r="A24" s="100" t="str">
        <f t="shared" si="0"/>
        <v>Woensdag</v>
      </c>
      <c r="B24" s="226">
        <f t="shared" si="7"/>
        <v>46225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30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13"/>
      <c r="AA24" s="313"/>
      <c r="AB24" s="313"/>
      <c r="AC24" s="313"/>
      <c r="AE24" s="4">
        <f t="shared" si="6"/>
        <v>0</v>
      </c>
    </row>
    <row r="25" spans="1:31" x14ac:dyDescent="0.25">
      <c r="A25" s="100" t="str">
        <f t="shared" si="0"/>
        <v>Donderdag</v>
      </c>
      <c r="B25" s="226">
        <f t="shared" si="7"/>
        <v>46226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30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13"/>
      <c r="AA25" s="313"/>
      <c r="AB25" s="313"/>
      <c r="AC25" s="313"/>
      <c r="AE25" s="4">
        <f t="shared" si="6"/>
        <v>0</v>
      </c>
    </row>
    <row r="26" spans="1:31" x14ac:dyDescent="0.25">
      <c r="A26" s="100" t="str">
        <f t="shared" si="0"/>
        <v>Vrijdag</v>
      </c>
      <c r="B26" s="226">
        <f t="shared" si="7"/>
        <v>46227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30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13"/>
      <c r="AA26" s="313"/>
      <c r="AB26" s="313"/>
      <c r="AC26" s="313"/>
      <c r="AE26" s="4">
        <f t="shared" si="6"/>
        <v>0</v>
      </c>
    </row>
    <row r="27" spans="1:31" x14ac:dyDescent="0.25">
      <c r="A27" s="100" t="str">
        <f t="shared" si="0"/>
        <v>Zaterdag</v>
      </c>
      <c r="B27" s="226">
        <f t="shared" si="7"/>
        <v>46228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30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13"/>
      <c r="AA27" s="313"/>
      <c r="AB27" s="313"/>
      <c r="AC27" s="313"/>
      <c r="AE27" s="4">
        <f t="shared" si="6"/>
        <v>0</v>
      </c>
    </row>
    <row r="28" spans="1:31" x14ac:dyDescent="0.25">
      <c r="A28" s="100" t="str">
        <f t="shared" si="0"/>
        <v>Zondag</v>
      </c>
      <c r="B28" s="226">
        <f t="shared" si="7"/>
        <v>46229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30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13"/>
      <c r="AA28" s="313"/>
      <c r="AB28" s="313"/>
      <c r="AC28" s="313"/>
      <c r="AE28" s="4">
        <f t="shared" si="6"/>
        <v>0</v>
      </c>
    </row>
    <row r="29" spans="1:31" x14ac:dyDescent="0.25">
      <c r="A29" s="100" t="str">
        <f t="shared" si="0"/>
        <v>Maandag</v>
      </c>
      <c r="B29" s="226">
        <f t="shared" si="7"/>
        <v>46230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31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13"/>
      <c r="AA29" s="313"/>
      <c r="AB29" s="313"/>
      <c r="AC29" s="313"/>
      <c r="AE29" s="4">
        <f t="shared" si="6"/>
        <v>0</v>
      </c>
    </row>
    <row r="30" spans="1:31" x14ac:dyDescent="0.25">
      <c r="A30" s="100" t="str">
        <f t="shared" si="0"/>
        <v>Dinsdag</v>
      </c>
      <c r="B30" s="226">
        <f t="shared" si="7"/>
        <v>46231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31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13"/>
      <c r="AA30" s="313"/>
      <c r="AB30" s="313"/>
      <c r="AC30" s="313"/>
      <c r="AE30" s="4">
        <f t="shared" si="6"/>
        <v>0</v>
      </c>
    </row>
    <row r="31" spans="1:31" x14ac:dyDescent="0.25">
      <c r="A31" s="100" t="str">
        <f t="shared" si="0"/>
        <v>Woensdag</v>
      </c>
      <c r="B31" s="226">
        <f t="shared" si="7"/>
        <v>46232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31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13"/>
      <c r="AA31" s="313"/>
      <c r="AB31" s="313"/>
      <c r="AC31" s="313"/>
      <c r="AE31" s="4">
        <f t="shared" si="6"/>
        <v>0</v>
      </c>
    </row>
    <row r="32" spans="1:31" x14ac:dyDescent="0.25">
      <c r="A32" s="100" t="str">
        <f t="shared" si="0"/>
        <v>Donderdag</v>
      </c>
      <c r="B32" s="226">
        <f t="shared" si="7"/>
        <v>46233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31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13"/>
      <c r="AA32" s="313"/>
      <c r="AB32" s="313"/>
      <c r="AC32" s="313"/>
      <c r="AE32" s="4">
        <f t="shared" si="6"/>
        <v>0</v>
      </c>
    </row>
    <row r="33" spans="1:31" ht="15" customHeight="1" x14ac:dyDescent="0.25">
      <c r="A33" s="100" t="str">
        <f>IF(WEEKDAY(B33)=1,"Zondag",IF(WEEKDAY(B33)=2,"Maandag",IF(WEEKDAY(B33)=3,"Dinsdag",IF(WEEKDAY(B33)=4,"Woensdag",IF(WEEKDAY(B33)=5,"Donderdag",IF(WEEKDAY(B33)=6,"Vrijdag","Zaterdag"))))))</f>
        <v>Vrijdag</v>
      </c>
      <c r="B33" s="226">
        <f t="shared" si="7"/>
        <v>46234</v>
      </c>
      <c r="C33" s="149"/>
      <c r="D33" s="149"/>
      <c r="E33" s="149"/>
      <c r="F33" s="149"/>
      <c r="G33" s="149"/>
      <c r="H33" s="79"/>
      <c r="I33" s="149"/>
      <c r="J33" s="188" t="str">
        <f t="shared" si="3"/>
        <v/>
      </c>
      <c r="K33" s="150">
        <f>IF(Basisgegevens!$F$1="JA",IF(D33="",0,(1-D33)+(E33)-G33),(E33-D33)-G33)</f>
        <v>0</v>
      </c>
      <c r="L33" s="44" t="str">
        <f t="shared" si="4"/>
        <v/>
      </c>
      <c r="M33" s="150">
        <f t="shared" si="8"/>
        <v>0</v>
      </c>
      <c r="N33" s="44" t="str">
        <f t="shared" si="2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R33" s="153"/>
      <c r="S33" s="153"/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5"/>
        <v>31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13"/>
      <c r="AA33" s="313"/>
      <c r="AB33" s="313"/>
      <c r="AC33" s="313"/>
      <c r="AE33" s="4">
        <f t="shared" si="6"/>
        <v>0</v>
      </c>
    </row>
    <row r="34" spans="1:31" ht="15" customHeight="1" x14ac:dyDescent="0.25">
      <c r="A34" s="2"/>
      <c r="B34" s="8"/>
      <c r="C34" s="5"/>
      <c r="D34" s="5"/>
      <c r="E34" s="5"/>
      <c r="F34" s="5"/>
      <c r="G34" s="5"/>
      <c r="H34" s="5"/>
      <c r="I34" s="5"/>
      <c r="K34" s="3"/>
      <c r="L34" s="3"/>
      <c r="M34" s="3"/>
      <c r="N34" s="44"/>
      <c r="O34" s="3"/>
      <c r="P34" s="6"/>
      <c r="Q34" s="7"/>
      <c r="T34" s="4"/>
      <c r="W34" s="230"/>
      <c r="Z34" s="313"/>
      <c r="AA34" s="313"/>
      <c r="AB34" s="313"/>
      <c r="AC34" s="313"/>
    </row>
    <row r="35" spans="1:31" x14ac:dyDescent="0.25">
      <c r="A35" s="14"/>
      <c r="B35" s="2"/>
      <c r="C35" s="2"/>
      <c r="D35" s="80"/>
      <c r="E35" s="80"/>
      <c r="F35" s="80"/>
      <c r="H35" s="80"/>
      <c r="I35" s="93" t="s">
        <v>15</v>
      </c>
      <c r="J35" s="190"/>
      <c r="K35" s="17">
        <f t="shared" ref="K35:Y35" si="16">SUM(K3:K33)</f>
        <v>0</v>
      </c>
      <c r="L35" s="98">
        <f t="shared" si="16"/>
        <v>0</v>
      </c>
      <c r="M35" s="89">
        <f t="shared" si="16"/>
        <v>0</v>
      </c>
      <c r="N35" s="76">
        <f t="shared" si="16"/>
        <v>0</v>
      </c>
      <c r="O35" s="17">
        <f t="shared" si="16"/>
        <v>0</v>
      </c>
      <c r="P35" s="15">
        <f t="shared" si="16"/>
        <v>0</v>
      </c>
      <c r="Q35" s="16">
        <f t="shared" si="16"/>
        <v>0</v>
      </c>
      <c r="R35" s="155">
        <f t="shared" si="16"/>
        <v>0</v>
      </c>
      <c r="S35" s="155">
        <f t="shared" ref="S35" si="17">SUM(S3:S33)</f>
        <v>0</v>
      </c>
      <c r="T35" s="31"/>
      <c r="U35" s="141"/>
      <c r="V35" s="31"/>
      <c r="W35" s="233"/>
      <c r="X35" s="32">
        <f t="shared" si="16"/>
        <v>0</v>
      </c>
      <c r="Y35" s="32">
        <f t="shared" si="16"/>
        <v>0</v>
      </c>
      <c r="Z35" s="313"/>
      <c r="AA35" s="313"/>
      <c r="AB35" s="313"/>
      <c r="AC35" s="313"/>
      <c r="AE35" s="4">
        <f>SUM(AE3:AE33)</f>
        <v>0</v>
      </c>
    </row>
    <row r="36" spans="1:31" x14ac:dyDescent="0.25">
      <c r="A36" s="41"/>
      <c r="B36" s="41"/>
      <c r="C36" s="41"/>
      <c r="D36" s="41"/>
      <c r="E36" s="41"/>
      <c r="F36" s="41"/>
      <c r="G36" s="41"/>
      <c r="H36" s="41"/>
      <c r="I36" s="41"/>
      <c r="K36" s="41"/>
      <c r="L36" s="84"/>
      <c r="M36" s="306" t="s">
        <v>112</v>
      </c>
      <c r="N36" s="307"/>
      <c r="O36" s="41"/>
      <c r="P36" s="88"/>
      <c r="Q36" s="43"/>
      <c r="R36" s="293">
        <f>R35+S35</f>
        <v>0</v>
      </c>
      <c r="S36" s="294"/>
      <c r="T36" s="100"/>
      <c r="V36" s="41"/>
      <c r="W36" s="232"/>
      <c r="X36" s="41"/>
      <c r="Z36" s="313"/>
      <c r="AA36" s="313"/>
      <c r="AB36" s="313"/>
      <c r="AC36" s="313"/>
    </row>
    <row r="37" spans="1:31" x14ac:dyDescent="0.25">
      <c r="A37" s="41"/>
      <c r="B37" s="41"/>
      <c r="C37" s="41"/>
      <c r="D37" s="41"/>
      <c r="E37" s="80"/>
      <c r="F37" s="80"/>
      <c r="G37" s="41"/>
      <c r="H37" s="41"/>
      <c r="I37" s="41"/>
      <c r="K37" s="41"/>
      <c r="L37" s="79"/>
      <c r="M37" s="292" t="s">
        <v>111</v>
      </c>
      <c r="N37" s="292"/>
      <c r="O37" s="84"/>
      <c r="P37" s="84"/>
      <c r="Q37" s="80"/>
      <c r="R37" s="293"/>
      <c r="S37" s="294"/>
      <c r="T37" s="100"/>
      <c r="V37" s="41"/>
      <c r="W37" s="232"/>
      <c r="X37" s="41"/>
      <c r="Z37" s="313"/>
      <c r="AA37" s="313"/>
      <c r="AB37" s="313"/>
      <c r="AC37" s="313"/>
    </row>
    <row r="38" spans="1:31" x14ac:dyDescent="0.25">
      <c r="A38" s="41"/>
      <c r="B38" s="41"/>
      <c r="C38" s="41"/>
      <c r="D38" s="41"/>
      <c r="E38" s="80"/>
      <c r="F38" s="80"/>
      <c r="G38" s="80"/>
      <c r="H38" s="41"/>
      <c r="I38" s="41"/>
      <c r="K38" s="80"/>
      <c r="L38" s="79"/>
      <c r="M38" s="292" t="s">
        <v>113</v>
      </c>
      <c r="N38" s="292"/>
      <c r="O38" s="41"/>
      <c r="P38" s="88"/>
      <c r="Q38" s="43"/>
      <c r="R38" s="293">
        <f>((R36*Basisgegevens!D44)-(R37*Basisgegevens!D47))/Basisgegevens!D44</f>
        <v>0</v>
      </c>
      <c r="S38" s="294"/>
      <c r="T38" s="100"/>
      <c r="V38" s="41"/>
      <c r="W38" s="232"/>
      <c r="X38" s="41"/>
      <c r="Z38" s="313"/>
      <c r="AA38" s="313"/>
      <c r="AB38" s="313"/>
      <c r="AC38" s="313"/>
    </row>
    <row r="39" spans="1:31" x14ac:dyDescent="0.25">
      <c r="A39" s="41"/>
      <c r="B39" s="41"/>
      <c r="C39" s="41"/>
      <c r="D39" s="41"/>
      <c r="E39" s="80"/>
      <c r="F39" s="80"/>
      <c r="G39" s="41"/>
      <c r="H39" s="41"/>
      <c r="I39" s="41"/>
      <c r="K39" s="41"/>
      <c r="L39" s="79"/>
      <c r="M39" s="4"/>
      <c r="O39" s="41"/>
      <c r="P39" s="88"/>
      <c r="Q39" s="43"/>
      <c r="R39" s="46"/>
      <c r="S39" s="46"/>
      <c r="T39" s="100"/>
      <c r="V39" s="41"/>
      <c r="W39" s="41"/>
      <c r="X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41"/>
      <c r="O40" s="41"/>
      <c r="P40" s="88"/>
      <c r="Q40" s="43"/>
      <c r="R40" s="46"/>
      <c r="S40" s="46"/>
      <c r="T40" s="100"/>
      <c r="V40" s="41"/>
      <c r="W40" s="41"/>
      <c r="X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9"/>
      <c r="O41" s="41"/>
      <c r="P41" s="41"/>
      <c r="Q41" s="41"/>
      <c r="R41" s="46"/>
      <c r="S41" s="46"/>
      <c r="T41" s="100"/>
      <c r="V41" s="41"/>
      <c r="W41" s="41"/>
      <c r="X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6"/>
      <c r="S42" s="46"/>
      <c r="T42" s="100"/>
      <c r="V42" s="41"/>
      <c r="W42" s="41"/>
      <c r="X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O43" s="41"/>
      <c r="P43" s="88"/>
      <c r="Q43" s="43"/>
      <c r="R43" s="46"/>
      <c r="S43" s="46"/>
      <c r="T43" s="100"/>
      <c r="V43" s="41"/>
      <c r="W43" s="41"/>
      <c r="X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100"/>
      <c r="V44" s="41"/>
      <c r="W44" s="41"/>
      <c r="X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M45" s="4"/>
      <c r="O45" s="41"/>
      <c r="P45" s="88"/>
      <c r="Q45" s="43"/>
      <c r="R45" s="46"/>
      <c r="S45" s="46"/>
      <c r="T45" s="100"/>
      <c r="V45" s="41"/>
      <c r="W45" s="41"/>
      <c r="X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100"/>
      <c r="V46" s="41"/>
      <c r="W46" s="41"/>
      <c r="X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100"/>
      <c r="V47" s="41"/>
      <c r="W47" s="41"/>
      <c r="X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100"/>
      <c r="V48" s="41"/>
      <c r="W48" s="41"/>
      <c r="X48" s="41"/>
    </row>
    <row r="49" spans="1:24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100"/>
      <c r="V49" s="41"/>
      <c r="W49" s="41"/>
      <c r="X49" s="41"/>
    </row>
    <row r="50" spans="1:24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100"/>
      <c r="V50" s="41"/>
      <c r="W50" s="41"/>
      <c r="X50" s="41"/>
    </row>
    <row r="51" spans="1:24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100"/>
      <c r="V51" s="41"/>
      <c r="W51" s="41"/>
      <c r="X51" s="41"/>
    </row>
    <row r="52" spans="1:24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100"/>
      <c r="V52" s="41"/>
      <c r="W52" s="41"/>
      <c r="X52" s="41"/>
    </row>
    <row r="53" spans="1:24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100"/>
      <c r="V53" s="41"/>
      <c r="W53" s="41"/>
      <c r="X53" s="41"/>
    </row>
    <row r="54" spans="1:24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100"/>
      <c r="V54" s="41"/>
      <c r="W54" s="41"/>
      <c r="X54" s="41"/>
    </row>
    <row r="55" spans="1:24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100"/>
      <c r="V55" s="41"/>
      <c r="W55" s="41"/>
      <c r="X55" s="41"/>
    </row>
    <row r="56" spans="1:24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6"/>
      <c r="S56" s="46"/>
      <c r="T56" s="100"/>
      <c r="V56" s="41"/>
      <c r="W56" s="41"/>
      <c r="X56" s="41"/>
    </row>
    <row r="57" spans="1:24" x14ac:dyDescent="0.25">
      <c r="A57" s="41"/>
      <c r="B57" s="41"/>
      <c r="C57" s="41"/>
      <c r="D57" s="41"/>
      <c r="E57" s="41"/>
      <c r="F57" s="41"/>
      <c r="G57" s="41"/>
      <c r="H57" s="41"/>
      <c r="I57" s="41"/>
      <c r="K57" s="41"/>
      <c r="L57" s="80"/>
      <c r="O57" s="41"/>
      <c r="P57" s="88"/>
      <c r="Q57" s="43"/>
      <c r="R57" s="46"/>
      <c r="S57" s="46"/>
      <c r="T57" s="100"/>
      <c r="V57" s="41"/>
      <c r="W57" s="41"/>
      <c r="X57" s="41"/>
    </row>
  </sheetData>
  <mergeCells count="17">
    <mergeCell ref="R36:S36"/>
    <mergeCell ref="J1:J2"/>
    <mergeCell ref="M1:N1"/>
    <mergeCell ref="M36:N36"/>
    <mergeCell ref="Z18:AC38"/>
    <mergeCell ref="M37:N37"/>
    <mergeCell ref="M38:N38"/>
    <mergeCell ref="R37:S37"/>
    <mergeCell ref="R38:S38"/>
    <mergeCell ref="A1:B2"/>
    <mergeCell ref="C1:G1"/>
    <mergeCell ref="T1:T2"/>
    <mergeCell ref="V1:V2"/>
    <mergeCell ref="W1:W2"/>
    <mergeCell ref="U1:U2"/>
    <mergeCell ref="K1:L1"/>
    <mergeCell ref="H1:I1"/>
  </mergeCells>
  <phoneticPr fontId="0" type="noConversion"/>
  <conditionalFormatting sqref="A3:W33">
    <cfRule type="expression" dxfId="17" priority="1" stopIfTrue="1">
      <formula>WEEKDAY($B3)=7</formula>
    </cfRule>
    <cfRule type="expression" dxfId="16" priority="2" stopIfTrue="1">
      <formula>WEEKDAY($B3)=1</formula>
    </cfRule>
  </conditionalFormatting>
  <dataValidations count="1">
    <dataValidation type="list" allowBlank="1" sqref="H3:H33" xr:uid="{00000000-0002-0000-06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9">
    <pageSetUpPr fitToPage="1"/>
  </sheetPr>
  <dimension ref="A1:AE56"/>
  <sheetViews>
    <sheetView zoomScaleNormal="100" workbookViewId="0">
      <pane ySplit="2" topLeftCell="A3" activePane="bottomLeft" state="frozen"/>
      <selection activeCell="F48" sqref="F48"/>
      <selection pane="bottomLeft" activeCell="H17" sqref="H17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10" customWidth="1"/>
    <col min="20" max="20" width="17.375" style="2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2" si="0">IF(WEEKDAY(B3)=1,"Zondag",IF(WEEKDAY(B3)=2,"Maandag",IF(WEEKDAY(B3)=3,"Dinsdag",IF(WEEKDAY(B3)=4,"Woensdag",IF(WEEKDAY(B3)=5,"Donderdag",IF(WEEKDAY(B3)=6,"Vrijdag","Zaterdag"))))))</f>
        <v>Zaterdag</v>
      </c>
      <c r="B3" s="226">
        <f>Jul!B33+1</f>
        <v>46235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31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Zondag</v>
      </c>
      <c r="B4" s="226">
        <f>B3+1</f>
        <v>46236</v>
      </c>
      <c r="C4" s="149"/>
      <c r="D4" s="149"/>
      <c r="E4" s="149"/>
      <c r="F4" s="149"/>
      <c r="G4" s="149"/>
      <c r="H4" s="79"/>
      <c r="I4" s="149"/>
      <c r="J4" s="188" t="str">
        <f t="shared" ref="J4:J33" si="3">IF(I4="","",IF(HOUR(I4)&lt;5,0.5,1))</f>
        <v/>
      </c>
      <c r="K4" s="150">
        <f>IF(Basisgegevens!$F$1="JA",IF(D4="",0,(1-D4)+(E4)-G4),(E4-D4)-G4)</f>
        <v>0</v>
      </c>
      <c r="L4" s="44" t="str">
        <f t="shared" ref="L4:L33" si="4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3" si="5">IF(WEEKDAY(B4)=1,(WEEKNUM(DATE(YEAR(B4),MONTH(B4),DAY(B4)),)-1),WEEKNUM(DATE(YEAR(B4),MONTH(B4),DAY(B4)),))</f>
        <v>31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LOOKUP(SMALL(W3:W33,1),W3:W33,W3:W33)</f>
        <v>31</v>
      </c>
      <c r="AA4" s="210">
        <f>IF($Z4="","",SUMIFS($K$3:$K$33,$W$3:$W$33,$Z4,$A$3:$A$33,"&lt;&gt;Zaterdag",$A$3:$A$33,"&lt;&gt;Zondag"))</f>
        <v>0</v>
      </c>
      <c r="AB4" s="199">
        <f>IF(Z4="","",SUMIFS(K$3:K$33,W$3:W$33,Z4,A$3:A$33,"&lt;&gt;Zaterdag",A$3:A$33,"&lt;&gt;Zondag")+SUMIFS(I$3:I$33,W$3:W$33,Z4,A$3:A$33,"&lt;&gt;Zaterdag",A$3:A$33,"&lt;&gt;Zondag"))</f>
        <v>0</v>
      </c>
      <c r="AC4" s="167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6">IF(L4="",0,IF(L4&gt;=5,1,0))</f>
        <v>0</v>
      </c>
    </row>
    <row r="5" spans="1:31" x14ac:dyDescent="0.25">
      <c r="A5" s="100" t="str">
        <f t="shared" si="0"/>
        <v>Maandag</v>
      </c>
      <c r="B5" s="226">
        <f t="shared" ref="B5:B33" si="7">B4+1</f>
        <v>46237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3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32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32</v>
      </c>
      <c r="AA5" s="211">
        <f t="shared" ref="AA5:AA9" si="9">IF($Z5="","",SUMIFS($K$3:$K$33,$W$3:$W$33,$Z5,$A$3:$A$33,"&lt;&gt;Zaterdag",$A$3:$A$33,"&lt;&gt;Zondag"))</f>
        <v>0</v>
      </c>
      <c r="AB5" s="200">
        <f t="shared" ref="AB5:AB9" si="10">IF(Z5="","",SUMIFS(K$3:K$33,W$3:W$33,Z5,A$3:A$33,"&lt;&gt;Zaterdag",A$3:A$33,"&lt;&gt;Zondag")+SUMIFS(I$3:I$33,W$3:W$33,Z5,A$3:A$33,"&lt;&gt;Zaterdag",A$3:A$33,"&lt;&gt;Zondag"))</f>
        <v>0</v>
      </c>
      <c r="AC5" s="168">
        <f>IF($Z5="","",SUMIFS($M$3:$M$33,$W$3:$W$33,$Z5,$A$3:$A$33,"&lt;&gt;Zaterdag",$A$3:$A$33,"&lt;&gt;Zondag"))</f>
        <v>0</v>
      </c>
      <c r="AD5" s="238">
        <f t="shared" ref="AD5:AD9" si="11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6"/>
        <v>0</v>
      </c>
    </row>
    <row r="6" spans="1:31" x14ac:dyDescent="0.25">
      <c r="A6" s="100" t="str">
        <f t="shared" si="0"/>
        <v>Dinsdag</v>
      </c>
      <c r="B6" s="226">
        <f t="shared" si="7"/>
        <v>46238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32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 t="shared" ref="Z6:Z9" si="12">IF(W$33=Z5,"",Z5+1)</f>
        <v>33</v>
      </c>
      <c r="AA6" s="211">
        <f t="shared" si="9"/>
        <v>0</v>
      </c>
      <c r="AB6" s="200">
        <f t="shared" si="10"/>
        <v>0</v>
      </c>
      <c r="AC6" s="168">
        <f t="shared" ref="AC6:AC9" si="13">IF($Z6="","",SUMIFS($M$3:$M$33,$W$3:$W$33,$Z6,$A$3:$A$33,"&lt;&gt;Zaterdag",$A$3:$A$33,"&lt;&gt;Zondag"))</f>
        <v>0</v>
      </c>
      <c r="AD6" s="238">
        <f t="shared" si="11"/>
        <v>0</v>
      </c>
      <c r="AE6" s="4">
        <f t="shared" si="6"/>
        <v>0</v>
      </c>
    </row>
    <row r="7" spans="1:31" x14ac:dyDescent="0.25">
      <c r="A7" s="100" t="str">
        <f t="shared" si="0"/>
        <v>Woensdag</v>
      </c>
      <c r="B7" s="226">
        <f t="shared" si="7"/>
        <v>46239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32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 t="shared" si="12"/>
        <v>34</v>
      </c>
      <c r="AA7" s="211">
        <f t="shared" si="9"/>
        <v>0</v>
      </c>
      <c r="AB7" s="200">
        <f t="shared" si="10"/>
        <v>0</v>
      </c>
      <c r="AC7" s="168">
        <f t="shared" si="13"/>
        <v>0</v>
      </c>
      <c r="AD7" s="238">
        <f t="shared" si="11"/>
        <v>0</v>
      </c>
      <c r="AE7" s="4">
        <f t="shared" si="6"/>
        <v>0</v>
      </c>
    </row>
    <row r="8" spans="1:31" x14ac:dyDescent="0.25">
      <c r="A8" s="100" t="str">
        <f t="shared" si="0"/>
        <v>Donderdag</v>
      </c>
      <c r="B8" s="226">
        <f t="shared" si="7"/>
        <v>46240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4"/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32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 t="shared" si="12"/>
        <v>35</v>
      </c>
      <c r="AA8" s="211">
        <f t="shared" si="9"/>
        <v>0</v>
      </c>
      <c r="AB8" s="200">
        <f t="shared" si="10"/>
        <v>0</v>
      </c>
      <c r="AC8" s="168">
        <f t="shared" si="13"/>
        <v>0</v>
      </c>
      <c r="AD8" s="238">
        <f t="shared" si="11"/>
        <v>0</v>
      </c>
      <c r="AE8" s="4">
        <f t="shared" si="6"/>
        <v>0</v>
      </c>
    </row>
    <row r="9" spans="1:31" ht="16.5" thickBot="1" x14ac:dyDescent="0.3">
      <c r="A9" s="100" t="str">
        <f t="shared" si="0"/>
        <v>Vrijdag</v>
      </c>
      <c r="B9" s="226">
        <f t="shared" si="7"/>
        <v>46241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32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>
        <f t="shared" si="12"/>
        <v>36</v>
      </c>
      <c r="AA9" s="212">
        <f t="shared" si="9"/>
        <v>0</v>
      </c>
      <c r="AB9" s="166">
        <f t="shared" si="10"/>
        <v>0</v>
      </c>
      <c r="AC9" s="64">
        <f t="shared" si="13"/>
        <v>0</v>
      </c>
      <c r="AD9" s="239">
        <f t="shared" si="11"/>
        <v>0</v>
      </c>
      <c r="AE9" s="4">
        <f t="shared" si="6"/>
        <v>0</v>
      </c>
    </row>
    <row r="10" spans="1:31" ht="16.5" thickBot="1" x14ac:dyDescent="0.3">
      <c r="A10" s="100" t="str">
        <f t="shared" si="0"/>
        <v>Zaterdag</v>
      </c>
      <c r="B10" s="226">
        <f t="shared" si="7"/>
        <v>46242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32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6.5" thickBot="1" x14ac:dyDescent="0.3">
      <c r="A11" s="100" t="str">
        <f t="shared" si="0"/>
        <v>Zondag</v>
      </c>
      <c r="B11" s="226">
        <f t="shared" si="7"/>
        <v>46243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4"/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32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0"/>
        <v>Maandag</v>
      </c>
      <c r="B12" s="226">
        <f t="shared" si="7"/>
        <v>46244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4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33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4">Z4</f>
        <v>31</v>
      </c>
      <c r="AA12" s="207">
        <f t="shared" ref="AA12:AC17" si="15">IF(AA4="","",AA4*24)</f>
        <v>0</v>
      </c>
      <c r="AB12" s="207">
        <f t="shared" si="15"/>
        <v>0</v>
      </c>
      <c r="AC12" s="203">
        <f t="shared" si="15"/>
        <v>0</v>
      </c>
      <c r="AE12" s="4">
        <f t="shared" si="6"/>
        <v>0</v>
      </c>
    </row>
    <row r="13" spans="1:31" x14ac:dyDescent="0.25">
      <c r="A13" s="100" t="str">
        <f t="shared" si="0"/>
        <v>Dinsdag</v>
      </c>
      <c r="B13" s="226">
        <f t="shared" si="7"/>
        <v>46245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4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33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4"/>
        <v>32</v>
      </c>
      <c r="AA13" s="208">
        <f t="shared" si="15"/>
        <v>0</v>
      </c>
      <c r="AB13" s="208">
        <f t="shared" si="15"/>
        <v>0</v>
      </c>
      <c r="AC13" s="204">
        <f t="shared" si="15"/>
        <v>0</v>
      </c>
      <c r="AE13" s="4">
        <f t="shared" si="6"/>
        <v>0</v>
      </c>
    </row>
    <row r="14" spans="1:31" x14ac:dyDescent="0.25">
      <c r="A14" s="100" t="str">
        <f t="shared" si="0"/>
        <v>Woensdag</v>
      </c>
      <c r="B14" s="226">
        <f t="shared" si="7"/>
        <v>46246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4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33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4"/>
        <v>33</v>
      </c>
      <c r="AA14" s="208">
        <f t="shared" si="15"/>
        <v>0</v>
      </c>
      <c r="AB14" s="208">
        <f t="shared" si="15"/>
        <v>0</v>
      </c>
      <c r="AC14" s="204">
        <f t="shared" si="15"/>
        <v>0</v>
      </c>
      <c r="AE14" s="4">
        <f t="shared" si="6"/>
        <v>0</v>
      </c>
    </row>
    <row r="15" spans="1:31" x14ac:dyDescent="0.25">
      <c r="A15" s="100" t="str">
        <f t="shared" si="0"/>
        <v>Donderdag</v>
      </c>
      <c r="B15" s="226">
        <f t="shared" si="7"/>
        <v>46247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4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33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4"/>
        <v>34</v>
      </c>
      <c r="AA15" s="208">
        <f t="shared" si="15"/>
        <v>0</v>
      </c>
      <c r="AB15" s="208">
        <f t="shared" si="15"/>
        <v>0</v>
      </c>
      <c r="AC15" s="204">
        <f t="shared" si="15"/>
        <v>0</v>
      </c>
      <c r="AE15" s="4">
        <f t="shared" si="6"/>
        <v>0</v>
      </c>
    </row>
    <row r="16" spans="1:31" x14ac:dyDescent="0.25">
      <c r="A16" s="100" t="str">
        <f t="shared" si="0"/>
        <v>Vrijdag</v>
      </c>
      <c r="B16" s="226">
        <f t="shared" si="7"/>
        <v>46248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4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33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4"/>
        <v>35</v>
      </c>
      <c r="AA16" s="208">
        <f t="shared" si="15"/>
        <v>0</v>
      </c>
      <c r="AB16" s="208">
        <f t="shared" si="15"/>
        <v>0</v>
      </c>
      <c r="AC16" s="204">
        <f t="shared" si="15"/>
        <v>0</v>
      </c>
      <c r="AE16" s="4">
        <f t="shared" si="6"/>
        <v>0</v>
      </c>
    </row>
    <row r="17" spans="1:31" ht="16.5" thickBot="1" x14ac:dyDescent="0.3">
      <c r="A17" s="100" t="str">
        <f t="shared" si="0"/>
        <v>Zaterdag</v>
      </c>
      <c r="B17" s="226">
        <f t="shared" si="7"/>
        <v>46249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>FD</v>
      </c>
      <c r="W17" s="220">
        <f t="shared" si="5"/>
        <v>33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>
        <f t="shared" si="14"/>
        <v>36</v>
      </c>
      <c r="AA17" s="209">
        <f t="shared" si="15"/>
        <v>0</v>
      </c>
      <c r="AB17" s="209">
        <f t="shared" si="15"/>
        <v>0</v>
      </c>
      <c r="AC17" s="205">
        <f t="shared" si="15"/>
        <v>0</v>
      </c>
      <c r="AE17" s="4">
        <f t="shared" si="6"/>
        <v>0</v>
      </c>
    </row>
    <row r="18" spans="1:31" x14ac:dyDescent="0.25">
      <c r="A18" s="100" t="str">
        <f t="shared" si="0"/>
        <v>Zondag</v>
      </c>
      <c r="B18" s="226">
        <f t="shared" si="7"/>
        <v>46250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33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6"/>
        <v>0</v>
      </c>
    </row>
    <row r="19" spans="1:31" x14ac:dyDescent="0.25">
      <c r="A19" s="100" t="str">
        <f t="shared" si="0"/>
        <v>Maandag</v>
      </c>
      <c r="B19" s="226">
        <f t="shared" si="7"/>
        <v>46251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34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6"/>
        <v>0</v>
      </c>
    </row>
    <row r="20" spans="1:31" x14ac:dyDescent="0.25">
      <c r="A20" s="100" t="str">
        <f t="shared" si="0"/>
        <v>Dinsdag</v>
      </c>
      <c r="B20" s="226">
        <f t="shared" si="7"/>
        <v>46252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34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6"/>
        <v>0</v>
      </c>
    </row>
    <row r="21" spans="1:31" x14ac:dyDescent="0.25">
      <c r="A21" s="100" t="str">
        <f t="shared" si="0"/>
        <v>Woensdag</v>
      </c>
      <c r="B21" s="226">
        <f t="shared" si="7"/>
        <v>46253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34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6"/>
        <v>0</v>
      </c>
    </row>
    <row r="22" spans="1:31" x14ac:dyDescent="0.25">
      <c r="A22" s="100" t="str">
        <f t="shared" si="0"/>
        <v>Donderdag</v>
      </c>
      <c r="B22" s="226">
        <f t="shared" si="7"/>
        <v>46254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34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6"/>
        <v>0</v>
      </c>
    </row>
    <row r="23" spans="1:31" x14ac:dyDescent="0.25">
      <c r="A23" s="100" t="str">
        <f t="shared" si="0"/>
        <v>Vrijdag</v>
      </c>
      <c r="B23" s="226">
        <f t="shared" si="7"/>
        <v>46255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34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6"/>
        <v>0</v>
      </c>
    </row>
    <row r="24" spans="1:31" x14ac:dyDescent="0.25">
      <c r="A24" s="100" t="str">
        <f t="shared" si="0"/>
        <v>Zaterdag</v>
      </c>
      <c r="B24" s="226">
        <f t="shared" si="7"/>
        <v>46256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34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6"/>
        <v>0</v>
      </c>
    </row>
    <row r="25" spans="1:31" x14ac:dyDescent="0.25">
      <c r="A25" s="100" t="str">
        <f t="shared" si="0"/>
        <v>Zondag</v>
      </c>
      <c r="B25" s="226">
        <f t="shared" si="7"/>
        <v>46257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34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6"/>
        <v>0</v>
      </c>
    </row>
    <row r="26" spans="1:31" x14ac:dyDescent="0.25">
      <c r="A26" s="100" t="str">
        <f t="shared" si="0"/>
        <v>Maandag</v>
      </c>
      <c r="B26" s="226">
        <f t="shared" si="7"/>
        <v>46258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35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6"/>
        <v>0</v>
      </c>
    </row>
    <row r="27" spans="1:31" x14ac:dyDescent="0.25">
      <c r="A27" s="100" t="str">
        <f t="shared" si="0"/>
        <v>Dinsdag</v>
      </c>
      <c r="B27" s="226">
        <f t="shared" si="7"/>
        <v>46259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35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6"/>
        <v>0</v>
      </c>
    </row>
    <row r="28" spans="1:31" x14ac:dyDescent="0.25">
      <c r="A28" s="100" t="str">
        <f t="shared" si="0"/>
        <v>Woensdag</v>
      </c>
      <c r="B28" s="226">
        <f t="shared" si="7"/>
        <v>46260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35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6"/>
        <v>0</v>
      </c>
    </row>
    <row r="29" spans="1:31" x14ac:dyDescent="0.25">
      <c r="A29" s="100" t="str">
        <f t="shared" si="0"/>
        <v>Donderdag</v>
      </c>
      <c r="B29" s="226">
        <f t="shared" si="7"/>
        <v>46261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35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6"/>
        <v>0</v>
      </c>
    </row>
    <row r="30" spans="1:31" x14ac:dyDescent="0.25">
      <c r="A30" s="100" t="str">
        <f t="shared" si="0"/>
        <v>Vrijdag</v>
      </c>
      <c r="B30" s="226">
        <f t="shared" si="7"/>
        <v>46262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35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6"/>
        <v>0</v>
      </c>
    </row>
    <row r="31" spans="1:31" x14ac:dyDescent="0.25">
      <c r="A31" s="100" t="str">
        <f t="shared" si="0"/>
        <v>Zaterdag</v>
      </c>
      <c r="B31" s="226">
        <f t="shared" si="7"/>
        <v>46263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35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6"/>
        <v>0</v>
      </c>
    </row>
    <row r="32" spans="1:31" x14ac:dyDescent="0.25">
      <c r="A32" s="100" t="str">
        <f t="shared" si="0"/>
        <v>Zondag</v>
      </c>
      <c r="B32" s="226">
        <f t="shared" si="7"/>
        <v>46264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35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6"/>
        <v>0</v>
      </c>
    </row>
    <row r="33" spans="1:31" x14ac:dyDescent="0.25">
      <c r="A33" s="100" t="str">
        <f>IF(WEEKDAY(B33)=1,"Zondag",IF(WEEKDAY(B33)=2,"Maandag",IF(WEEKDAY(B33)=3,"Dinsdag",IF(WEEKDAY(B33)=4,"Woensdag",IF(WEEKDAY(B33)=5,"Donderdag",IF(WEEKDAY(B33)=6,"Vrijdag","Zaterdag"))))))</f>
        <v>Maandag</v>
      </c>
      <c r="B33" s="226">
        <f t="shared" si="7"/>
        <v>46265</v>
      </c>
      <c r="C33" s="149"/>
      <c r="D33" s="149"/>
      <c r="E33" s="149"/>
      <c r="F33" s="149"/>
      <c r="G33" s="149"/>
      <c r="H33" s="79"/>
      <c r="I33" s="149"/>
      <c r="J33" s="188" t="str">
        <f t="shared" si="3"/>
        <v/>
      </c>
      <c r="K33" s="150">
        <f>IF(Basisgegevens!$F$1="JA",IF(D33="",0,(1-D33)+(E33)-G33),(E33-D33)-G33)</f>
        <v>0</v>
      </c>
      <c r="L33" s="44" t="str">
        <f t="shared" si="4"/>
        <v/>
      </c>
      <c r="M33" s="150">
        <f t="shared" si="8"/>
        <v>0</v>
      </c>
      <c r="N33" s="44" t="str">
        <f t="shared" si="2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R33" s="153"/>
      <c r="S33" s="153"/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5"/>
        <v>36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09"/>
      <c r="AA33" s="309"/>
      <c r="AB33" s="309"/>
      <c r="AC33" s="309"/>
      <c r="AE33" s="4">
        <f t="shared" si="6"/>
        <v>0</v>
      </c>
    </row>
    <row r="34" spans="1:31" x14ac:dyDescent="0.25">
      <c r="A34" s="2"/>
      <c r="B34" s="8"/>
      <c r="C34" s="8"/>
      <c r="D34" s="5"/>
      <c r="E34" s="5"/>
      <c r="F34" s="5"/>
      <c r="G34" s="5"/>
      <c r="H34" s="5"/>
      <c r="I34" s="5"/>
      <c r="K34" s="3"/>
      <c r="L34" s="3"/>
      <c r="M34" s="3"/>
      <c r="N34" s="44"/>
      <c r="O34" s="3"/>
      <c r="P34" s="6"/>
      <c r="Q34" s="7"/>
      <c r="T34" s="4"/>
      <c r="W34" s="230"/>
      <c r="Z34" s="309"/>
      <c r="AA34" s="309"/>
      <c r="AB34" s="309"/>
      <c r="AC34" s="309"/>
    </row>
    <row r="35" spans="1:31" x14ac:dyDescent="0.25">
      <c r="A35" s="14"/>
      <c r="B35" s="2"/>
      <c r="C35" s="2"/>
      <c r="D35" s="80"/>
      <c r="E35" s="80"/>
      <c r="F35" s="80"/>
      <c r="H35" s="80"/>
      <c r="I35" s="93" t="s">
        <v>15</v>
      </c>
      <c r="J35" s="190"/>
      <c r="K35" s="17">
        <f t="shared" ref="K35:Y35" si="16">SUM(K3:K33)</f>
        <v>0</v>
      </c>
      <c r="L35" s="98">
        <f t="shared" si="16"/>
        <v>0</v>
      </c>
      <c r="M35" s="89">
        <f t="shared" si="16"/>
        <v>0</v>
      </c>
      <c r="N35" s="76">
        <f t="shared" si="16"/>
        <v>0</v>
      </c>
      <c r="O35" s="17">
        <f t="shared" si="16"/>
        <v>0</v>
      </c>
      <c r="P35" s="15">
        <f t="shared" si="16"/>
        <v>0</v>
      </c>
      <c r="Q35" s="16">
        <f t="shared" si="16"/>
        <v>0</v>
      </c>
      <c r="R35" s="155">
        <f t="shared" si="16"/>
        <v>0</v>
      </c>
      <c r="S35" s="155">
        <f t="shared" ref="S35" si="17">SUM(S3:S33)</f>
        <v>0</v>
      </c>
      <c r="T35" s="31"/>
      <c r="U35" s="141"/>
      <c r="V35" s="31"/>
      <c r="W35" s="233"/>
      <c r="X35" s="32">
        <f t="shared" si="16"/>
        <v>0</v>
      </c>
      <c r="Y35" s="32">
        <f t="shared" si="16"/>
        <v>0</v>
      </c>
      <c r="Z35" s="309"/>
      <c r="AA35" s="309"/>
      <c r="AB35" s="309"/>
      <c r="AC35" s="309"/>
      <c r="AE35" s="4">
        <f>SUM(AE3:AE33)</f>
        <v>0</v>
      </c>
    </row>
    <row r="36" spans="1:31" x14ac:dyDescent="0.25">
      <c r="A36" s="41"/>
      <c r="B36" s="41"/>
      <c r="C36" s="41"/>
      <c r="D36" s="41"/>
      <c r="E36" s="41"/>
      <c r="F36" s="41"/>
      <c r="G36" s="41"/>
      <c r="H36" s="80"/>
      <c r="I36" s="41"/>
      <c r="K36" s="41"/>
      <c r="L36" s="84"/>
      <c r="M36" s="306" t="s">
        <v>112</v>
      </c>
      <c r="N36" s="307"/>
      <c r="O36" s="41"/>
      <c r="P36" s="88"/>
      <c r="Q36" s="43"/>
      <c r="R36" s="293">
        <f>R35+S35</f>
        <v>0</v>
      </c>
      <c r="S36" s="294"/>
      <c r="T36" s="100"/>
      <c r="V36" s="41"/>
      <c r="W36" s="232"/>
      <c r="X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41"/>
      <c r="H37" s="41"/>
      <c r="I37" s="41"/>
      <c r="K37" s="41"/>
      <c r="L37" s="79"/>
      <c r="M37" s="292" t="s">
        <v>111</v>
      </c>
      <c r="N37" s="292"/>
      <c r="O37" s="84"/>
      <c r="P37" s="84"/>
      <c r="Q37" s="80"/>
      <c r="R37" s="293"/>
      <c r="S37" s="294"/>
      <c r="T37" s="100"/>
      <c r="V37" s="41"/>
      <c r="W37" s="232"/>
      <c r="X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80"/>
      <c r="H38" s="41"/>
      <c r="I38" s="41"/>
      <c r="K38" s="80"/>
      <c r="L38" s="79"/>
      <c r="M38" s="292" t="s">
        <v>113</v>
      </c>
      <c r="N38" s="292"/>
      <c r="O38" s="41"/>
      <c r="P38" s="88"/>
      <c r="Q38" s="43"/>
      <c r="R38" s="293">
        <f>((R36*Basisgegevens!D44)-(R37*Basisgegevens!D47))/Basisgegevens!D44</f>
        <v>0</v>
      </c>
      <c r="S38" s="294"/>
      <c r="T38" s="100"/>
      <c r="V38" s="41"/>
      <c r="W38" s="232"/>
      <c r="X38" s="41"/>
      <c r="Z38" s="309"/>
      <c r="AA38" s="309"/>
      <c r="AB38" s="309"/>
      <c r="AC38" s="309"/>
    </row>
    <row r="39" spans="1:31" x14ac:dyDescent="0.25">
      <c r="A39" s="41"/>
      <c r="B39" s="41"/>
      <c r="C39" s="41"/>
      <c r="D39" s="41"/>
      <c r="E39" s="80"/>
      <c r="F39" s="80"/>
      <c r="G39" s="41"/>
      <c r="H39" s="41"/>
      <c r="I39" s="41"/>
      <c r="K39" s="41"/>
      <c r="L39" s="79"/>
      <c r="M39" s="4"/>
      <c r="O39" s="41"/>
      <c r="P39" s="88"/>
      <c r="Q39" s="43"/>
      <c r="R39" s="46"/>
      <c r="S39" s="46"/>
      <c r="T39" s="100"/>
      <c r="V39" s="41"/>
      <c r="W39" s="41"/>
      <c r="X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41"/>
      <c r="O40" s="41"/>
      <c r="P40" s="88"/>
      <c r="Q40" s="43"/>
      <c r="R40" s="46"/>
      <c r="S40" s="46"/>
      <c r="T40" s="100"/>
      <c r="V40" s="41"/>
      <c r="W40" s="41"/>
      <c r="X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9"/>
      <c r="O41" s="41"/>
      <c r="P41" s="41"/>
      <c r="Q41" s="41"/>
      <c r="R41" s="46"/>
      <c r="S41" s="46"/>
      <c r="T41" s="100"/>
      <c r="V41" s="41"/>
      <c r="W41" s="41"/>
      <c r="X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6"/>
      <c r="S42" s="46"/>
      <c r="T42" s="100"/>
      <c r="V42" s="41"/>
      <c r="W42" s="41"/>
      <c r="X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O43" s="41"/>
      <c r="P43" s="88"/>
      <c r="Q43" s="43"/>
      <c r="R43" s="46"/>
      <c r="S43" s="46"/>
      <c r="T43" s="100"/>
      <c r="V43" s="41"/>
      <c r="W43" s="41"/>
      <c r="X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100"/>
      <c r="V44" s="41"/>
      <c r="W44" s="41"/>
      <c r="X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M45" s="4"/>
      <c r="O45" s="41"/>
      <c r="P45" s="88"/>
      <c r="Q45" s="43"/>
      <c r="R45" s="46"/>
      <c r="S45" s="46"/>
      <c r="T45" s="100"/>
      <c r="V45" s="41"/>
      <c r="W45" s="41"/>
      <c r="X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100"/>
      <c r="V46" s="41"/>
      <c r="W46" s="41"/>
      <c r="X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100"/>
      <c r="V47" s="41"/>
      <c r="W47" s="41"/>
      <c r="X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100"/>
      <c r="V48" s="41"/>
      <c r="W48" s="41"/>
      <c r="X48" s="41"/>
    </row>
    <row r="49" spans="1:24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100"/>
      <c r="V49" s="41"/>
      <c r="W49" s="41"/>
      <c r="X49" s="41"/>
    </row>
    <row r="50" spans="1:24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100"/>
      <c r="V50" s="41"/>
      <c r="W50" s="41"/>
      <c r="X50" s="41"/>
    </row>
    <row r="51" spans="1:24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100"/>
      <c r="V51" s="41"/>
      <c r="W51" s="41"/>
      <c r="X51" s="41"/>
    </row>
    <row r="52" spans="1:24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100"/>
      <c r="V52" s="41"/>
      <c r="W52" s="41"/>
      <c r="X52" s="41"/>
    </row>
    <row r="53" spans="1:24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100"/>
      <c r="V53" s="41"/>
      <c r="W53" s="41"/>
      <c r="X53" s="41"/>
    </row>
    <row r="54" spans="1:24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100"/>
      <c r="V54" s="41"/>
      <c r="W54" s="41"/>
      <c r="X54" s="41"/>
    </row>
    <row r="55" spans="1:24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100"/>
      <c r="V55" s="41"/>
      <c r="W55" s="41"/>
      <c r="X55" s="41"/>
    </row>
    <row r="56" spans="1:24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6"/>
      <c r="S56" s="46"/>
      <c r="T56" s="100"/>
      <c r="V56" s="41"/>
      <c r="W56" s="41"/>
      <c r="X56" s="41"/>
    </row>
  </sheetData>
  <mergeCells count="17">
    <mergeCell ref="R36:S36"/>
    <mergeCell ref="J1:J2"/>
    <mergeCell ref="M1:N1"/>
    <mergeCell ref="M36:N36"/>
    <mergeCell ref="Z18:AC38"/>
    <mergeCell ref="M37:N37"/>
    <mergeCell ref="M38:N38"/>
    <mergeCell ref="R37:S37"/>
    <mergeCell ref="R38:S38"/>
    <mergeCell ref="A1:B2"/>
    <mergeCell ref="C1:G1"/>
    <mergeCell ref="T1:T2"/>
    <mergeCell ref="V1:V2"/>
    <mergeCell ref="W1:W2"/>
    <mergeCell ref="U1:U2"/>
    <mergeCell ref="K1:L1"/>
    <mergeCell ref="H1:I1"/>
  </mergeCells>
  <phoneticPr fontId="0" type="noConversion"/>
  <conditionalFormatting sqref="A3:W33">
    <cfRule type="expression" dxfId="15" priority="1" stopIfTrue="1">
      <formula>WEEKDAY($B3)=7</formula>
    </cfRule>
    <cfRule type="expression" dxfId="14" priority="2" stopIfTrue="1">
      <formula>WEEKDAY($B3)=1</formula>
    </cfRule>
  </conditionalFormatting>
  <dataValidations count="1">
    <dataValidation type="list" allowBlank="1" sqref="H3:H33" xr:uid="{00000000-0002-0000-07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10">
    <pageSetUpPr fitToPage="1"/>
  </sheetPr>
  <dimension ref="A1:AE65536"/>
  <sheetViews>
    <sheetView zoomScaleNormal="100" workbookViewId="0">
      <pane ySplit="2" topLeftCell="A3" activePane="bottomLeft" state="frozen"/>
      <selection activeCell="F48" sqref="F48"/>
      <selection pane="bottomLeft" activeCell="C27" sqref="C27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1" si="0">IF(WEEKDAY(B3)=1,"Zondag",IF(WEEKDAY(B3)=2,"Maandag",IF(WEEKDAY(B3)=3,"Dinsdag",IF(WEEKDAY(B3)=4,"Woensdag",IF(WEEKDAY(B3)=5,"Donderdag",IF(WEEKDAY(B3)=6,"Vrijdag","Zaterdag"))))))</f>
        <v>Dinsdag</v>
      </c>
      <c r="B3" s="226">
        <f>Aug!B33+1</f>
        <v>46266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:L6" si="1">IF(D3="","",ROUNDDOWN((HOUR(K3))+MINUTE(K3)/60,2))</f>
        <v/>
      </c>
      <c r="M3" s="150">
        <f>IF(C3="",0,(D3-C3)+(F3-E3))</f>
        <v>0</v>
      </c>
      <c r="N3" s="44" t="str">
        <f t="shared" ref="N3:N32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36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Woensdag</v>
      </c>
      <c r="B4" s="226">
        <f>B3+1</f>
        <v>46267</v>
      </c>
      <c r="C4" s="149"/>
      <c r="D4" s="149"/>
      <c r="E4" s="149"/>
      <c r="F4" s="149"/>
      <c r="G4" s="149"/>
      <c r="H4" s="79"/>
      <c r="I4" s="149"/>
      <c r="J4" s="188" t="str">
        <f t="shared" ref="J4:J32" si="3">IF(I4="","",IF(HOUR(I4)&lt;5,0.5,1))</f>
        <v/>
      </c>
      <c r="K4" s="150">
        <f>IF(Basisgegevens!$F$1="JA",IF(D4="",0,(1-D4)+(E4)-G4),(E4-D4)-G4)</f>
        <v>0</v>
      </c>
      <c r="L4" s="44" t="str">
        <f t="shared" si="1"/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2" si="4">IF(WEEKDAY(B4)=1,(WEEKNUM(DATE(YEAR(B4),MONTH(B4),DAY(B4)),)-1),WEEKNUM(DATE(YEAR(B4),MONTH(B4),DAY(B4)),))</f>
        <v>36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LOOKUP(SMALL(W3:W32,1),W3:W32,W3:W32)</f>
        <v>36</v>
      </c>
      <c r="AA4" s="199">
        <f>IF($Z4="","",SUMIFS($K$3:$K$32,$W$3:$W$32,$Z4,$A$3:$A$32,"&lt;&gt;Zaterdag",$A$3:$A$32,"&lt;&gt;Zondag"))</f>
        <v>0</v>
      </c>
      <c r="AB4" s="199">
        <f>IF(Z4="","",SUMIFS(K$3:K$32,W$3:W$32,Z4,A$3:A$32,"&lt;&gt;Zaterdag",A$3:A$32,"&lt;&gt;Zondag")+SUMIFS(I$3:I$32,W$3:W$32,Z4,A$3:A$32,"&lt;&gt;Zaterdag",A$3:A$32,"&lt;&gt;Zondag"))</f>
        <v>0</v>
      </c>
      <c r="AC4" s="167">
        <f>IF($Z4="","",SUMIFS($M$3:$M$32,$W$3:$W$32,$Z4,$A$3:$A$32,"&lt;&gt;Zaterdag",$A$3:$A$32,"&lt;&gt;Zondag"))</f>
        <v>0</v>
      </c>
      <c r="AD4" s="237">
        <f>IF($Z4="","",SUMIFS($K$3:$K$32,$W$3:$W$32,$Z4,$A$3:$A$32,"&lt;&gt;Zaterdag",$A$3:$A$32,"&lt;&gt;Zondag")+SUMIFS($I$3:$I$32,$W$3:$W$32,$Z4,$A$3:$A$32,"&lt;&gt;Zaterdag",$A$3:$A$32,"&lt;&gt;Zondag",$H$3:$H$32,"=ADV")+SUMIFS($I$3:$I$32,$W$3:$W$32,$Z4,$A$3:$A$32,"&lt;&gt;Zaterdag",$A$3:$A$32,"&lt;&gt;Zondag",$H$3:$H$32,"=BF")+SUMIFS($I$3:$I$32,$W$3:$W$32,$Z4,$A$3:$A$32,"&lt;&gt;Zaterdag",$A$3:$A$32,"&lt;&gt;Zondag",$H$3:$H$32,"=BIR")+SUMIFS($I$3:$I$32,$W$3:$W$32,$Z4,$A$3:$A$32,"&lt;&gt;Zaterdag",$A$3:$A$32,"&lt;&gt;Zondag",$H$3:$H$32,"=OPL"))</f>
        <v>0</v>
      </c>
      <c r="AE4" s="4">
        <f t="shared" ref="AE4:AE32" si="5">IF(L4="",0,IF(L4&gt;=5,1,0))</f>
        <v>0</v>
      </c>
    </row>
    <row r="5" spans="1:31" x14ac:dyDescent="0.25">
      <c r="A5" s="100" t="str">
        <f t="shared" si="0"/>
        <v>Donderdag</v>
      </c>
      <c r="B5" s="226">
        <f t="shared" ref="B5:B32" si="6">B4+1</f>
        <v>46268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1"/>
        <v/>
      </c>
      <c r="M5" s="150">
        <f t="shared" ref="M5:M32" si="7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4"/>
        <v>36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IF(W$32=Z4,"",Z4+1)</f>
        <v>37</v>
      </c>
      <c r="AA5" s="200">
        <f t="shared" ref="AA5:AA9" si="8">IF($Z5="","",SUMIFS($K$3:$K$32,$W$3:$W$32,$Z5,$A$3:$A$32,"&lt;&gt;Zaterdag",$A$3:$A$32,"&lt;&gt;Zondag"))</f>
        <v>0</v>
      </c>
      <c r="AB5" s="200">
        <f t="shared" ref="AB5:AB9" si="9">IF(Z5="","",SUMIFS(K$3:K$32,W$3:W$32,Z5,A$3:A$32,"&lt;&gt;Zaterdag",A$3:A$32,"&lt;&gt;Zondag")+SUMIFS(I$3:I$32,W$3:W$32,Z5,A$3:A$32,"&lt;&gt;Zaterdag",A$3:A$32,"&lt;&gt;Zondag"))</f>
        <v>0</v>
      </c>
      <c r="AC5" s="168">
        <f t="shared" ref="AC5:AC9" si="10">IF($Z5="","",SUMIFS($M$3:$M$32,$W$3:$W$32,$Z5,$A$3:$A$32,"&lt;&gt;Zaterdag",$A$3:$A$32,"&lt;&gt;Zondag"))</f>
        <v>0</v>
      </c>
      <c r="AD5" s="237">
        <f t="shared" ref="AD5:AD9" si="11">IF($Z5="","",SUMIFS($K$3:$K$32,$W$3:$W$32,$Z5,$A$3:$A$32,"&lt;&gt;Zaterdag",$A$3:$A$32,"&lt;&gt;Zondag")+SUMIFS($I$3:$I$32,$W$3:$W$32,$Z5,$A$3:$A$32,"&lt;&gt;Zaterdag",$A$3:$A$32,"&lt;&gt;Zondag",$H$3:$H$32,"=ADV")+SUMIFS($I$3:$I$32,$W$3:$W$32,$Z5,$A$3:$A$32,"&lt;&gt;Zaterdag",$A$3:$A$32,"&lt;&gt;Zondag",$H$3:$H$32,"=BF")+SUMIFS($I$3:$I$32,$W$3:$W$32,$Z5,$A$3:$A$32,"&lt;&gt;Zaterdag",$A$3:$A$32,"&lt;&gt;Zondag",$H$3:$H$32,"=BIR")+SUMIFS($I$3:$I$32,$W$3:$W$32,$Z5,$A$3:$A$32,"&lt;&gt;Zaterdag",$A$3:$A$32,"&lt;&gt;Zondag",$H$3:$H$32,"=OPL"))</f>
        <v>0</v>
      </c>
      <c r="AE5" s="4">
        <f t="shared" si="5"/>
        <v>0</v>
      </c>
    </row>
    <row r="6" spans="1:31" x14ac:dyDescent="0.25">
      <c r="A6" s="100" t="str">
        <f t="shared" si="0"/>
        <v>Vrijdag</v>
      </c>
      <c r="B6" s="226">
        <f t="shared" si="6"/>
        <v>46269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1"/>
        <v/>
      </c>
      <c r="M6" s="150">
        <f t="shared" si="7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4"/>
        <v>36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>IF(W$32=Z5,"",Z5+1)</f>
        <v>38</v>
      </c>
      <c r="AA6" s="200">
        <f t="shared" si="8"/>
        <v>0</v>
      </c>
      <c r="AB6" s="200">
        <f t="shared" si="9"/>
        <v>0</v>
      </c>
      <c r="AC6" s="168">
        <f t="shared" si="10"/>
        <v>0</v>
      </c>
      <c r="AD6" s="237">
        <f t="shared" si="11"/>
        <v>0</v>
      </c>
      <c r="AE6" s="4">
        <f t="shared" si="5"/>
        <v>0</v>
      </c>
    </row>
    <row r="7" spans="1:31" x14ac:dyDescent="0.25">
      <c r="A7" s="100" t="str">
        <f t="shared" si="0"/>
        <v>Zaterdag</v>
      </c>
      <c r="B7" s="226">
        <f t="shared" si="6"/>
        <v>46270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ref="L7:L32" si="12">IF(D7="","",ROUNDDOWN((HOUR(K7))+MINUTE(K7)/60,2))</f>
        <v/>
      </c>
      <c r="M7" s="150">
        <f t="shared" si="7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4"/>
        <v>36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>IF(W$32=Z6,"",Z6+1)</f>
        <v>39</v>
      </c>
      <c r="AA7" s="200">
        <f t="shared" si="8"/>
        <v>0</v>
      </c>
      <c r="AB7" s="200">
        <f t="shared" si="9"/>
        <v>0</v>
      </c>
      <c r="AC7" s="168">
        <f t="shared" si="10"/>
        <v>0</v>
      </c>
      <c r="AD7" s="237">
        <f t="shared" si="11"/>
        <v>0</v>
      </c>
      <c r="AE7" s="4">
        <f t="shared" si="5"/>
        <v>0</v>
      </c>
    </row>
    <row r="8" spans="1:31" x14ac:dyDescent="0.25">
      <c r="A8" s="100" t="str">
        <f t="shared" si="0"/>
        <v>Zondag</v>
      </c>
      <c r="B8" s="226">
        <f t="shared" si="6"/>
        <v>46271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12"/>
        <v/>
      </c>
      <c r="M8" s="150">
        <f t="shared" si="7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4"/>
        <v>36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>IF(W$32=Z7,"",Z7+1)</f>
        <v>40</v>
      </c>
      <c r="AA8" s="200">
        <f t="shared" si="8"/>
        <v>0</v>
      </c>
      <c r="AB8" s="200">
        <f t="shared" si="9"/>
        <v>0</v>
      </c>
      <c r="AC8" s="168">
        <f t="shared" si="10"/>
        <v>0</v>
      </c>
      <c r="AD8" s="237">
        <f t="shared" si="11"/>
        <v>0</v>
      </c>
      <c r="AE8" s="4">
        <f t="shared" si="5"/>
        <v>0</v>
      </c>
    </row>
    <row r="9" spans="1:31" ht="16.5" thickBot="1" x14ac:dyDescent="0.3">
      <c r="A9" s="100" t="str">
        <f t="shared" si="0"/>
        <v>Maandag</v>
      </c>
      <c r="B9" s="226">
        <f t="shared" si="6"/>
        <v>46272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12"/>
        <v/>
      </c>
      <c r="M9" s="150">
        <f t="shared" si="7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4"/>
        <v>37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>IF(W$32=Z8,"",Z8+1)</f>
        <v/>
      </c>
      <c r="AA9" s="166" t="str">
        <f t="shared" si="8"/>
        <v/>
      </c>
      <c r="AB9" s="166" t="str">
        <f t="shared" si="9"/>
        <v/>
      </c>
      <c r="AC9" s="64" t="str">
        <f t="shared" si="10"/>
        <v/>
      </c>
      <c r="AD9" s="239" t="str">
        <f t="shared" si="11"/>
        <v/>
      </c>
      <c r="AE9" s="4">
        <f t="shared" si="5"/>
        <v>0</v>
      </c>
    </row>
    <row r="10" spans="1:31" ht="16.5" thickBot="1" x14ac:dyDescent="0.3">
      <c r="A10" s="100" t="str">
        <f t="shared" si="0"/>
        <v>Dinsdag</v>
      </c>
      <c r="B10" s="226">
        <f t="shared" si="6"/>
        <v>46273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12"/>
        <v/>
      </c>
      <c r="M10" s="150">
        <f t="shared" si="7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4"/>
        <v>37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5"/>
        <v>0</v>
      </c>
    </row>
    <row r="11" spans="1:31" ht="16.5" thickBot="1" x14ac:dyDescent="0.3">
      <c r="A11" s="100" t="str">
        <f t="shared" si="0"/>
        <v>Woensdag</v>
      </c>
      <c r="B11" s="226">
        <f t="shared" si="6"/>
        <v>46274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12"/>
        <v/>
      </c>
      <c r="M11" s="150">
        <f t="shared" si="7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4"/>
        <v>37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5"/>
        <v>0</v>
      </c>
    </row>
    <row r="12" spans="1:31" x14ac:dyDescent="0.25">
      <c r="A12" s="100" t="str">
        <f t="shared" si="0"/>
        <v>Donderdag</v>
      </c>
      <c r="B12" s="226">
        <f t="shared" si="6"/>
        <v>46275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12"/>
        <v/>
      </c>
      <c r="M12" s="150">
        <f t="shared" si="7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4"/>
        <v>37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3">Z4</f>
        <v>36</v>
      </c>
      <c r="AA12" s="207">
        <f t="shared" ref="AA12:AC17" si="14">IF(AA4="","",AA4*24)</f>
        <v>0</v>
      </c>
      <c r="AB12" s="207">
        <f t="shared" si="14"/>
        <v>0</v>
      </c>
      <c r="AC12" s="203">
        <f t="shared" si="14"/>
        <v>0</v>
      </c>
      <c r="AE12" s="4">
        <f t="shared" si="5"/>
        <v>0</v>
      </c>
    </row>
    <row r="13" spans="1:31" x14ac:dyDescent="0.25">
      <c r="A13" s="100" t="str">
        <f t="shared" si="0"/>
        <v>Vrijdag</v>
      </c>
      <c r="B13" s="226">
        <f t="shared" si="6"/>
        <v>46276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12"/>
        <v/>
      </c>
      <c r="M13" s="150">
        <f t="shared" si="7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4"/>
        <v>37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3"/>
        <v>37</v>
      </c>
      <c r="AA13" s="208">
        <f t="shared" si="14"/>
        <v>0</v>
      </c>
      <c r="AB13" s="208">
        <f t="shared" si="14"/>
        <v>0</v>
      </c>
      <c r="AC13" s="204">
        <f t="shared" si="14"/>
        <v>0</v>
      </c>
      <c r="AE13" s="4">
        <f t="shared" si="5"/>
        <v>0</v>
      </c>
    </row>
    <row r="14" spans="1:31" x14ac:dyDescent="0.25">
      <c r="A14" s="100" t="str">
        <f t="shared" si="0"/>
        <v>Zaterdag</v>
      </c>
      <c r="B14" s="226">
        <f t="shared" si="6"/>
        <v>46277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12"/>
        <v/>
      </c>
      <c r="M14" s="150">
        <f t="shared" si="7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4"/>
        <v>37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3"/>
        <v>38</v>
      </c>
      <c r="AA14" s="208">
        <f t="shared" si="14"/>
        <v>0</v>
      </c>
      <c r="AB14" s="208">
        <f t="shared" si="14"/>
        <v>0</v>
      </c>
      <c r="AC14" s="204">
        <f t="shared" si="14"/>
        <v>0</v>
      </c>
      <c r="AE14" s="4">
        <f t="shared" si="5"/>
        <v>0</v>
      </c>
    </row>
    <row r="15" spans="1:31" x14ac:dyDescent="0.25">
      <c r="A15" s="100" t="str">
        <f t="shared" si="0"/>
        <v>Zondag</v>
      </c>
      <c r="B15" s="226">
        <f t="shared" si="6"/>
        <v>46278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12"/>
        <v/>
      </c>
      <c r="M15" s="150">
        <f t="shared" si="7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4"/>
        <v>37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3"/>
        <v>39</v>
      </c>
      <c r="AA15" s="208">
        <f t="shared" si="14"/>
        <v>0</v>
      </c>
      <c r="AB15" s="208">
        <f t="shared" si="14"/>
        <v>0</v>
      </c>
      <c r="AC15" s="204">
        <f t="shared" si="14"/>
        <v>0</v>
      </c>
      <c r="AE15" s="4">
        <f t="shared" si="5"/>
        <v>0</v>
      </c>
    </row>
    <row r="16" spans="1:31" x14ac:dyDescent="0.25">
      <c r="A16" s="100" t="str">
        <f t="shared" si="0"/>
        <v>Maandag</v>
      </c>
      <c r="B16" s="226">
        <f t="shared" si="6"/>
        <v>46279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12"/>
        <v/>
      </c>
      <c r="M16" s="150">
        <f t="shared" si="7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4"/>
        <v>38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3"/>
        <v>40</v>
      </c>
      <c r="AA16" s="208">
        <f t="shared" si="14"/>
        <v>0</v>
      </c>
      <c r="AB16" s="208">
        <f t="shared" si="14"/>
        <v>0</v>
      </c>
      <c r="AC16" s="204">
        <f t="shared" si="14"/>
        <v>0</v>
      </c>
      <c r="AE16" s="4">
        <f t="shared" si="5"/>
        <v>0</v>
      </c>
    </row>
    <row r="17" spans="1:31" ht="16.5" thickBot="1" x14ac:dyDescent="0.3">
      <c r="A17" s="100" t="str">
        <f t="shared" si="0"/>
        <v>Dinsdag</v>
      </c>
      <c r="B17" s="226">
        <f t="shared" si="6"/>
        <v>46280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12"/>
        <v/>
      </c>
      <c r="M17" s="150">
        <f t="shared" si="7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4"/>
        <v>38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3"/>
        <v/>
      </c>
      <c r="AA17" s="209" t="str">
        <f t="shared" si="14"/>
        <v/>
      </c>
      <c r="AB17" s="209" t="str">
        <f t="shared" si="14"/>
        <v/>
      </c>
      <c r="AC17" s="205" t="str">
        <f t="shared" si="14"/>
        <v/>
      </c>
      <c r="AE17" s="4">
        <f t="shared" si="5"/>
        <v>0</v>
      </c>
    </row>
    <row r="18" spans="1:31" x14ac:dyDescent="0.25">
      <c r="A18" s="100" t="str">
        <f t="shared" si="0"/>
        <v>Woensdag</v>
      </c>
      <c r="B18" s="226">
        <f t="shared" si="6"/>
        <v>46281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12"/>
        <v/>
      </c>
      <c r="M18" s="150">
        <f t="shared" si="7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4"/>
        <v>38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5"/>
        <v>0</v>
      </c>
    </row>
    <row r="19" spans="1:31" x14ac:dyDescent="0.25">
      <c r="A19" s="100" t="str">
        <f t="shared" si="0"/>
        <v>Donderdag</v>
      </c>
      <c r="B19" s="226">
        <f t="shared" si="6"/>
        <v>46282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12"/>
        <v/>
      </c>
      <c r="M19" s="150">
        <f t="shared" si="7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4"/>
        <v>38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5"/>
        <v>0</v>
      </c>
    </row>
    <row r="20" spans="1:31" x14ac:dyDescent="0.25">
      <c r="A20" s="100" t="str">
        <f t="shared" si="0"/>
        <v>Vrijdag</v>
      </c>
      <c r="B20" s="226">
        <f t="shared" si="6"/>
        <v>46283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12"/>
        <v/>
      </c>
      <c r="M20" s="150">
        <f t="shared" si="7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4"/>
        <v>38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5"/>
        <v>0</v>
      </c>
    </row>
    <row r="21" spans="1:31" x14ac:dyDescent="0.25">
      <c r="A21" s="100" t="str">
        <f t="shared" si="0"/>
        <v>Zaterdag</v>
      </c>
      <c r="B21" s="226">
        <f t="shared" si="6"/>
        <v>46284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12"/>
        <v/>
      </c>
      <c r="M21" s="150">
        <f t="shared" si="7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4"/>
        <v>38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5"/>
        <v>0</v>
      </c>
    </row>
    <row r="22" spans="1:31" x14ac:dyDescent="0.25">
      <c r="A22" s="100" t="str">
        <f t="shared" si="0"/>
        <v>Zondag</v>
      </c>
      <c r="B22" s="226">
        <f t="shared" si="6"/>
        <v>46285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12"/>
        <v/>
      </c>
      <c r="M22" s="150">
        <f t="shared" si="7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4"/>
        <v>38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5"/>
        <v>0</v>
      </c>
    </row>
    <row r="23" spans="1:31" x14ac:dyDescent="0.25">
      <c r="A23" s="100" t="str">
        <f t="shared" si="0"/>
        <v>Maandag</v>
      </c>
      <c r="B23" s="226">
        <f t="shared" si="6"/>
        <v>46286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12"/>
        <v/>
      </c>
      <c r="M23" s="150">
        <f t="shared" si="7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4"/>
        <v>39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5"/>
        <v>0</v>
      </c>
    </row>
    <row r="24" spans="1:31" x14ac:dyDescent="0.25">
      <c r="A24" s="100" t="str">
        <f t="shared" si="0"/>
        <v>Dinsdag</v>
      </c>
      <c r="B24" s="226">
        <f t="shared" si="6"/>
        <v>46287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12"/>
        <v/>
      </c>
      <c r="M24" s="150">
        <f t="shared" si="7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4"/>
        <v>39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5"/>
        <v>0</v>
      </c>
    </row>
    <row r="25" spans="1:31" x14ac:dyDescent="0.25">
      <c r="A25" s="100" t="str">
        <f t="shared" si="0"/>
        <v>Woensdag</v>
      </c>
      <c r="B25" s="226">
        <f t="shared" si="6"/>
        <v>46288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12"/>
        <v/>
      </c>
      <c r="M25" s="150">
        <f t="shared" si="7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4"/>
        <v>39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5"/>
        <v>0</v>
      </c>
    </row>
    <row r="26" spans="1:31" x14ac:dyDescent="0.25">
      <c r="A26" s="100" t="str">
        <f t="shared" si="0"/>
        <v>Donderdag</v>
      </c>
      <c r="B26" s="226">
        <f t="shared" si="6"/>
        <v>46289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12"/>
        <v/>
      </c>
      <c r="M26" s="150">
        <f t="shared" si="7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4"/>
        <v>39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5"/>
        <v>0</v>
      </c>
    </row>
    <row r="27" spans="1:31" x14ac:dyDescent="0.25">
      <c r="A27" s="100" t="str">
        <f t="shared" si="0"/>
        <v>Vrijdag</v>
      </c>
      <c r="B27" s="226">
        <f t="shared" si="6"/>
        <v>46290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12"/>
        <v/>
      </c>
      <c r="M27" s="150">
        <f t="shared" si="7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4"/>
        <v>39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5"/>
        <v>0</v>
      </c>
    </row>
    <row r="28" spans="1:31" x14ac:dyDescent="0.25">
      <c r="A28" s="100" t="str">
        <f t="shared" si="0"/>
        <v>Zaterdag</v>
      </c>
      <c r="B28" s="226">
        <f t="shared" si="6"/>
        <v>46291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12"/>
        <v/>
      </c>
      <c r="M28" s="150">
        <f t="shared" si="7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4"/>
        <v>39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5"/>
        <v>0</v>
      </c>
    </row>
    <row r="29" spans="1:31" x14ac:dyDescent="0.25">
      <c r="A29" s="100" t="str">
        <f t="shared" si="0"/>
        <v>Zondag</v>
      </c>
      <c r="B29" s="226">
        <f t="shared" si="6"/>
        <v>46292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12"/>
        <v/>
      </c>
      <c r="M29" s="150">
        <f t="shared" si="7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4"/>
        <v>39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5"/>
        <v>0</v>
      </c>
    </row>
    <row r="30" spans="1:31" x14ac:dyDescent="0.25">
      <c r="A30" s="100" t="str">
        <f t="shared" si="0"/>
        <v>Maandag</v>
      </c>
      <c r="B30" s="226">
        <f t="shared" si="6"/>
        <v>46293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12"/>
        <v/>
      </c>
      <c r="M30" s="150">
        <f t="shared" si="7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4"/>
        <v>40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5"/>
        <v>0</v>
      </c>
    </row>
    <row r="31" spans="1:31" x14ac:dyDescent="0.25">
      <c r="A31" s="100" t="str">
        <f t="shared" si="0"/>
        <v>Dinsdag</v>
      </c>
      <c r="B31" s="226">
        <f t="shared" si="6"/>
        <v>46294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12"/>
        <v/>
      </c>
      <c r="M31" s="150">
        <f t="shared" si="7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4"/>
        <v>40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5"/>
        <v>0</v>
      </c>
    </row>
    <row r="32" spans="1:31" x14ac:dyDescent="0.25">
      <c r="A32" s="100" t="str">
        <f>IF(WEEKDAY(B32)=1,"Zondag",IF(WEEKDAY(B32)=2,"Maandag",IF(WEEKDAY(B32)=3,"Dinsdag",IF(WEEKDAY(B32)=4,"Woensdag",IF(WEEKDAY(B32)=5,"Donderdag",IF(WEEKDAY(B32)=6,"Vrijdag","Zaterdag"))))))</f>
        <v>Woensdag</v>
      </c>
      <c r="B32" s="226">
        <f t="shared" si="6"/>
        <v>46295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12"/>
        <v/>
      </c>
      <c r="M32" s="150">
        <f t="shared" si="7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4"/>
        <v>40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5"/>
        <v>0</v>
      </c>
    </row>
    <row r="33" spans="1:31" x14ac:dyDescent="0.25">
      <c r="A33" s="2"/>
      <c r="B33" s="8"/>
      <c r="C33" s="8"/>
      <c r="D33" s="5"/>
      <c r="E33" s="5"/>
      <c r="F33" s="5"/>
      <c r="G33" s="5"/>
      <c r="H33" s="5"/>
      <c r="I33" s="5"/>
      <c r="J33" s="188"/>
      <c r="K33" s="3"/>
      <c r="L33" s="40"/>
      <c r="M33" s="3"/>
      <c r="N33" s="44"/>
      <c r="O33" s="3"/>
      <c r="P33" s="6"/>
      <c r="Q33" s="7"/>
      <c r="T33" s="2"/>
      <c r="U33" s="41"/>
      <c r="W33" s="230"/>
      <c r="Z33" s="309"/>
      <c r="AA33" s="309"/>
      <c r="AB33" s="309"/>
      <c r="AC33" s="309"/>
    </row>
    <row r="34" spans="1:31" x14ac:dyDescent="0.25">
      <c r="A34" s="14"/>
      <c r="B34" s="8"/>
      <c r="C34" s="8"/>
      <c r="D34" s="80"/>
      <c r="E34" s="80"/>
      <c r="F34" s="80"/>
      <c r="H34" s="80"/>
      <c r="I34" s="93" t="s">
        <v>15</v>
      </c>
      <c r="K34" s="17">
        <f t="shared" ref="K34:Y34" si="15">SUM(K3:K32)</f>
        <v>0</v>
      </c>
      <c r="L34" s="98">
        <f t="shared" si="15"/>
        <v>0</v>
      </c>
      <c r="M34" s="89">
        <f>SUM(M3:M32)</f>
        <v>0</v>
      </c>
      <c r="N34" s="76">
        <f>SUM(N3:N32)</f>
        <v>0</v>
      </c>
      <c r="O34" s="17">
        <f t="shared" si="15"/>
        <v>0</v>
      </c>
      <c r="P34" s="15">
        <f t="shared" si="15"/>
        <v>0</v>
      </c>
      <c r="Q34" s="16">
        <f t="shared" si="15"/>
        <v>0</v>
      </c>
      <c r="R34" s="155">
        <f>SUM(R3:R32)</f>
        <v>0</v>
      </c>
      <c r="S34" s="155">
        <f>SUM(S3:S32)</f>
        <v>0</v>
      </c>
      <c r="T34" s="31"/>
      <c r="V34" s="31"/>
      <c r="W34" s="233"/>
      <c r="X34" s="32">
        <f t="shared" si="15"/>
        <v>0</v>
      </c>
      <c r="Y34" s="32">
        <f t="shared" si="15"/>
        <v>0</v>
      </c>
      <c r="Z34" s="309"/>
      <c r="AA34" s="309"/>
      <c r="AB34" s="309"/>
      <c r="AC34" s="309"/>
      <c r="AD34" s="147"/>
      <c r="AE34" s="4">
        <f>SUM(AE3:AE32)</f>
        <v>0</v>
      </c>
    </row>
    <row r="35" spans="1:3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190"/>
      <c r="K35" s="41"/>
      <c r="L35" s="99"/>
      <c r="M35" s="306" t="s">
        <v>112</v>
      </c>
      <c r="N35" s="307"/>
      <c r="O35" s="41"/>
      <c r="P35" s="88"/>
      <c r="Q35" s="43"/>
      <c r="R35" s="293">
        <f>R34+S34</f>
        <v>0</v>
      </c>
      <c r="S35" s="294"/>
      <c r="T35" s="79"/>
      <c r="U35" s="141"/>
      <c r="V35" s="41"/>
      <c r="W35" s="232"/>
      <c r="X35" s="41"/>
      <c r="Z35" s="309"/>
      <c r="AA35" s="309"/>
      <c r="AB35" s="309"/>
      <c r="AC35" s="309"/>
      <c r="AD35" s="147"/>
    </row>
    <row r="36" spans="1:31" x14ac:dyDescent="0.25">
      <c r="A36" s="41"/>
      <c r="B36" s="41"/>
      <c r="C36" s="41"/>
      <c r="D36" s="41"/>
      <c r="E36" s="80"/>
      <c r="F36" s="80"/>
      <c r="G36" s="41"/>
      <c r="H36" s="41"/>
      <c r="I36" s="41"/>
      <c r="K36" s="41"/>
      <c r="L36" s="79"/>
      <c r="M36" s="292" t="s">
        <v>111</v>
      </c>
      <c r="N36" s="292"/>
      <c r="O36" s="84"/>
      <c r="P36" s="84"/>
      <c r="Q36" s="80"/>
      <c r="R36" s="293"/>
      <c r="S36" s="294"/>
      <c r="T36" s="41"/>
      <c r="V36" s="41"/>
      <c r="W36" s="232"/>
      <c r="X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80"/>
      <c r="H37" s="41"/>
      <c r="I37" s="41"/>
      <c r="K37" s="80"/>
      <c r="L37" s="79"/>
      <c r="M37" s="292" t="s">
        <v>113</v>
      </c>
      <c r="N37" s="292"/>
      <c r="O37" s="41"/>
      <c r="P37" s="88"/>
      <c r="Q37" s="43"/>
      <c r="R37" s="293">
        <f>((R35*Basisgegevens!D44)-(R36*Basisgegevens!D47))/Basisgegevens!D44</f>
        <v>0</v>
      </c>
      <c r="S37" s="294"/>
      <c r="T37" s="79"/>
      <c r="V37" s="41"/>
      <c r="W37" s="232"/>
      <c r="X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41"/>
      <c r="H38" s="41"/>
      <c r="I38" s="41"/>
      <c r="K38" s="41"/>
      <c r="L38" s="79"/>
      <c r="M38" s="4"/>
      <c r="O38" s="41"/>
      <c r="P38" s="88"/>
      <c r="Q38" s="43"/>
      <c r="R38" s="46"/>
      <c r="S38" s="46"/>
      <c r="T38" s="41"/>
      <c r="V38" s="41"/>
      <c r="W38" s="41"/>
      <c r="X38" s="41"/>
    </row>
    <row r="39" spans="1:31" x14ac:dyDescent="0.25">
      <c r="A39" s="41"/>
      <c r="B39" s="41"/>
      <c r="C39" s="41"/>
      <c r="D39" s="41"/>
      <c r="E39" s="41"/>
      <c r="F39" s="41"/>
      <c r="G39" s="41"/>
      <c r="H39" s="41"/>
      <c r="I39" s="41"/>
      <c r="K39" s="41"/>
      <c r="L39" s="79"/>
      <c r="O39" s="41"/>
      <c r="P39" s="88"/>
      <c r="Q39" s="43"/>
      <c r="R39" s="46"/>
      <c r="S39" s="46"/>
      <c r="T39" s="41"/>
      <c r="V39" s="41"/>
      <c r="W39" s="41"/>
      <c r="X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79"/>
      <c r="O40" s="41"/>
      <c r="P40" s="41"/>
      <c r="Q40" s="41"/>
      <c r="R40" s="46"/>
      <c r="S40" s="46"/>
      <c r="T40" s="41"/>
      <c r="V40" s="41"/>
      <c r="W40" s="41"/>
      <c r="X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8"/>
      <c r="O41" s="41"/>
      <c r="P41" s="88"/>
      <c r="Q41" s="43"/>
      <c r="R41" s="46"/>
      <c r="S41" s="46"/>
      <c r="T41" s="41"/>
      <c r="V41" s="41"/>
      <c r="W41" s="41"/>
      <c r="X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6"/>
      <c r="S42" s="46"/>
      <c r="T42" s="41"/>
      <c r="V42" s="41"/>
      <c r="W42" s="41"/>
      <c r="X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M43" s="4"/>
      <c r="O43" s="41"/>
      <c r="P43" s="88"/>
      <c r="Q43" s="43"/>
      <c r="R43" s="46"/>
      <c r="S43" s="46"/>
      <c r="T43" s="41"/>
      <c r="V43" s="41"/>
      <c r="W43" s="41"/>
      <c r="X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41"/>
      <c r="V44" s="41"/>
      <c r="W44" s="41"/>
      <c r="X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O45" s="41"/>
      <c r="P45" s="88"/>
      <c r="Q45" s="43"/>
      <c r="R45" s="46"/>
      <c r="S45" s="46"/>
      <c r="T45" s="41"/>
      <c r="V45" s="41"/>
      <c r="W45" s="41"/>
      <c r="X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41"/>
      <c r="V46" s="41"/>
      <c r="W46" s="41"/>
      <c r="X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41"/>
      <c r="V47" s="41"/>
      <c r="W47" s="41"/>
      <c r="X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41"/>
      <c r="V48" s="41"/>
      <c r="W48" s="41"/>
      <c r="X48" s="41"/>
    </row>
    <row r="49" spans="1:24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41"/>
      <c r="V49" s="41"/>
      <c r="W49" s="41"/>
      <c r="X49" s="41"/>
    </row>
    <row r="50" spans="1:24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41"/>
      <c r="V50" s="41"/>
      <c r="W50" s="41"/>
      <c r="X50" s="41"/>
    </row>
    <row r="51" spans="1:24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41"/>
      <c r="V51" s="41"/>
      <c r="W51" s="41"/>
      <c r="X51" s="41"/>
    </row>
    <row r="52" spans="1:24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41"/>
      <c r="V52" s="41"/>
      <c r="W52" s="41"/>
      <c r="X52" s="41"/>
    </row>
    <row r="53" spans="1:24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41"/>
      <c r="V53" s="41"/>
      <c r="W53" s="41"/>
      <c r="X53" s="41"/>
    </row>
    <row r="54" spans="1:24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41"/>
      <c r="V54" s="41"/>
      <c r="W54" s="41"/>
      <c r="X54" s="41"/>
    </row>
    <row r="55" spans="1:24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41"/>
      <c r="V55" s="41"/>
      <c r="W55" s="41"/>
      <c r="X55" s="41"/>
    </row>
    <row r="56" spans="1:24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6"/>
      <c r="S56" s="46"/>
      <c r="T56" s="41"/>
      <c r="V56" s="41"/>
      <c r="W56" s="41"/>
      <c r="X56" s="41"/>
    </row>
    <row r="57" spans="1:24" x14ac:dyDescent="0.25">
      <c r="A57" s="41"/>
      <c r="B57" s="41"/>
      <c r="C57" s="41"/>
      <c r="D57" s="41"/>
      <c r="E57" s="41"/>
      <c r="F57" s="41"/>
      <c r="G57" s="41"/>
      <c r="H57" s="41"/>
      <c r="I57" s="41"/>
      <c r="K57" s="41"/>
      <c r="L57" s="80"/>
      <c r="O57" s="41"/>
      <c r="P57" s="88"/>
      <c r="Q57" s="43"/>
      <c r="T57" s="41"/>
      <c r="V57" s="41"/>
      <c r="W57" s="41"/>
      <c r="X57" s="41"/>
    </row>
    <row r="65536" spans="4:9" x14ac:dyDescent="0.25">
      <c r="D65536" s="5"/>
      <c r="E65536" s="5"/>
      <c r="F65536" s="5"/>
      <c r="I65536" s="5"/>
    </row>
  </sheetData>
  <mergeCells count="17">
    <mergeCell ref="W1:W2"/>
    <mergeCell ref="Z18:AC37"/>
    <mergeCell ref="U1:U2"/>
    <mergeCell ref="M36:N36"/>
    <mergeCell ref="M37:N37"/>
    <mergeCell ref="R36:S36"/>
    <mergeCell ref="R37:S37"/>
    <mergeCell ref="A1:B2"/>
    <mergeCell ref="C1:G1"/>
    <mergeCell ref="T1:T2"/>
    <mergeCell ref="V1:V2"/>
    <mergeCell ref="M35:N35"/>
    <mergeCell ref="K1:L1"/>
    <mergeCell ref="H1:I1"/>
    <mergeCell ref="R35:S35"/>
    <mergeCell ref="J1:J2"/>
    <mergeCell ref="M1:N1"/>
  </mergeCells>
  <phoneticPr fontId="0" type="noConversion"/>
  <conditionalFormatting sqref="A3:W32">
    <cfRule type="expression" dxfId="13" priority="1" stopIfTrue="1">
      <formula>WEEKDAY($B3)=7</formula>
    </cfRule>
    <cfRule type="expression" dxfId="12" priority="2" stopIfTrue="1">
      <formula>WEEKDAY($B3)=1</formula>
    </cfRule>
  </conditionalFormatting>
  <dataValidations count="1">
    <dataValidation type="list" allowBlank="1" sqref="H3:H32" xr:uid="{00000000-0002-0000-08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lad11">
    <pageSetUpPr fitToPage="1"/>
  </sheetPr>
  <dimension ref="A1:AE65536"/>
  <sheetViews>
    <sheetView zoomScaleNormal="100" workbookViewId="0">
      <pane ySplit="2" topLeftCell="A3" activePane="bottomLeft" state="frozen"/>
      <selection activeCell="F48" sqref="F48"/>
      <selection pane="bottomLeft" activeCell="D11" sqref="D11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10" customWidth="1"/>
    <col min="20" max="20" width="17.375" style="2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2" si="0">IF(WEEKDAY(B3)=1,"Zondag",IF(WEEKDAY(B3)=2,"Maandag",IF(WEEKDAY(B3)=3,"Dinsdag",IF(WEEKDAY(B3)=4,"Woensdag",IF(WEEKDAY(B3)=5,"Donderdag",IF(WEEKDAY(B3)=6,"Vrijdag","Zaterdag"))))))</f>
        <v>Donderdag</v>
      </c>
      <c r="B3" s="226">
        <f>Sep!B32+1</f>
        <v>46296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40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64" t="s">
        <v>0</v>
      </c>
      <c r="AB3" s="164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Vrijdag</v>
      </c>
      <c r="B4" s="226">
        <f>B3+1</f>
        <v>46297</v>
      </c>
      <c r="C4" s="149"/>
      <c r="D4" s="149"/>
      <c r="E4" s="149"/>
      <c r="F4" s="149"/>
      <c r="G4" s="149"/>
      <c r="H4" s="79"/>
      <c r="I4" s="149"/>
      <c r="J4" s="188" t="str">
        <f t="shared" ref="J4:J33" si="3">IF(I4="","",IF(HOUR(I4)&lt;5,0.5,1))</f>
        <v/>
      </c>
      <c r="K4" s="150">
        <f>IF(Basisgegevens!$F$1="JA",IF(D4="",0,(1-D4)+(E4)-G4),(E4-D4)-G4)</f>
        <v>0</v>
      </c>
      <c r="L4" s="44" t="str">
        <f t="shared" ref="L4:L33" si="4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3" si="5">IF(WEEKDAY(B4)=1,(WEEKNUM(DATE(YEAR(B4),MONTH(B4),DAY(B4)),)-1),WEEKNUM(DATE(YEAR(B4),MONTH(B4),DAY(B4)),))</f>
        <v>40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LOOKUP(SMALL(W3:W33,1),W3:W33,W3:W33)</f>
        <v>40</v>
      </c>
      <c r="AA4" s="210">
        <f>IF($Z4="","",SUMIFS($K$3:$K$33,$W$3:$W$33,$Z4,$A$3:$A$33,"&lt;&gt;Zaterdag",$A$3:$A$33,"&lt;&gt;Zondag"))</f>
        <v>0</v>
      </c>
      <c r="AB4" s="199">
        <f>IF(Z4="","",SUMIFS(K$3:K$33,W$3:W$33,Z4,A$3:A$33,"&lt;&gt;Zaterdag",A$3:A$33,"&lt;&gt;Zondag")+SUMIFS(I$3:I$33,W$3:W$33,Z4,A$3:A$33,"&lt;&gt;Zaterdag",A$3:A$33,"&lt;&gt;Zondag"))</f>
        <v>0</v>
      </c>
      <c r="AC4" s="167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6">IF(L4="",0,IF(L4&gt;=5,1,0))</f>
        <v>0</v>
      </c>
    </row>
    <row r="5" spans="1:31" x14ac:dyDescent="0.25">
      <c r="A5" s="100" t="str">
        <f t="shared" si="0"/>
        <v>Zaterdag</v>
      </c>
      <c r="B5" s="226">
        <f t="shared" ref="B5:B33" si="7">B4+1</f>
        <v>46298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3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40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41</v>
      </c>
      <c r="AA5" s="211">
        <f t="shared" ref="AA5:AA9" si="9">IF($Z5="","",SUMIFS($K$3:$K$33,$W$3:$W$33,$Z5,$A$3:$A$33,"&lt;&gt;Zaterdag",$A$3:$A$33,"&lt;&gt;Zondag"))</f>
        <v>0</v>
      </c>
      <c r="AB5" s="200">
        <f t="shared" ref="AB5:AB9" si="10">IF(Z5="","",SUMIFS(K$3:K$33,W$3:W$33,Z5,A$3:A$33,"&lt;&gt;Zaterdag",A$3:A$33,"&lt;&gt;Zondag")+SUMIFS(I$3:I$33,W$3:W$33,Z5,A$3:A$33,"&lt;&gt;Zaterdag",A$3:A$33,"&lt;&gt;Zondag"))</f>
        <v>0</v>
      </c>
      <c r="AC5" s="168">
        <f>IF($Z5="","",SUMIFS($M$3:$M$33,$W$3:$W$33,$Z5,$A$3:$A$33,"&lt;&gt;Zaterdag",$A$3:$A$33,"&lt;&gt;Zondag"))</f>
        <v>0</v>
      </c>
      <c r="AD5" s="238">
        <f t="shared" ref="AD5:AD9" si="11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6"/>
        <v>0</v>
      </c>
    </row>
    <row r="6" spans="1:31" x14ac:dyDescent="0.25">
      <c r="A6" s="100" t="str">
        <f t="shared" si="0"/>
        <v>Zondag</v>
      </c>
      <c r="B6" s="226">
        <f t="shared" si="7"/>
        <v>46299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40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 t="shared" ref="Z6:Z9" si="12">IF(W$33=Z5,"",Z5+1)</f>
        <v>42</v>
      </c>
      <c r="AA6" s="211">
        <f t="shared" si="9"/>
        <v>0</v>
      </c>
      <c r="AB6" s="200">
        <f t="shared" si="10"/>
        <v>0</v>
      </c>
      <c r="AC6" s="168">
        <f t="shared" ref="AC6:AC9" si="13">IF($Z6="","",SUMIFS($M$3:$M$33,$W$3:$W$33,$Z6,$A$3:$A$33,"&lt;&gt;Zaterdag",$A$3:$A$33,"&lt;&gt;Zondag"))</f>
        <v>0</v>
      </c>
      <c r="AD6" s="238">
        <f t="shared" si="11"/>
        <v>0</v>
      </c>
      <c r="AE6" s="4">
        <f t="shared" si="6"/>
        <v>0</v>
      </c>
    </row>
    <row r="7" spans="1:31" x14ac:dyDescent="0.25">
      <c r="A7" s="100" t="str">
        <f t="shared" si="0"/>
        <v>Maandag</v>
      </c>
      <c r="B7" s="226">
        <f t="shared" si="7"/>
        <v>46300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41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 t="shared" si="12"/>
        <v>43</v>
      </c>
      <c r="AA7" s="211">
        <f t="shared" si="9"/>
        <v>0</v>
      </c>
      <c r="AB7" s="200">
        <f t="shared" si="10"/>
        <v>0</v>
      </c>
      <c r="AC7" s="168">
        <f t="shared" si="13"/>
        <v>0</v>
      </c>
      <c r="AD7" s="238">
        <f t="shared" si="11"/>
        <v>0</v>
      </c>
      <c r="AE7" s="4">
        <f t="shared" si="6"/>
        <v>0</v>
      </c>
    </row>
    <row r="8" spans="1:31" x14ac:dyDescent="0.25">
      <c r="A8" s="100" t="str">
        <f t="shared" si="0"/>
        <v>Dinsdag</v>
      </c>
      <c r="B8" s="226">
        <f t="shared" si="7"/>
        <v>46301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4"/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41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 t="shared" si="12"/>
        <v>44</v>
      </c>
      <c r="AA8" s="211">
        <f t="shared" si="9"/>
        <v>0</v>
      </c>
      <c r="AB8" s="200">
        <f t="shared" si="10"/>
        <v>0</v>
      </c>
      <c r="AC8" s="168">
        <f t="shared" si="13"/>
        <v>0</v>
      </c>
      <c r="AD8" s="238">
        <f t="shared" si="11"/>
        <v>0</v>
      </c>
      <c r="AE8" s="4">
        <f t="shared" si="6"/>
        <v>0</v>
      </c>
    </row>
    <row r="9" spans="1:31" ht="16.5" thickBot="1" x14ac:dyDescent="0.3">
      <c r="A9" s="100" t="str">
        <f t="shared" si="0"/>
        <v>Woensdag</v>
      </c>
      <c r="B9" s="226">
        <f t="shared" si="7"/>
        <v>46302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41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 t="shared" si="12"/>
        <v/>
      </c>
      <c r="AA9" s="212" t="str">
        <f t="shared" si="9"/>
        <v/>
      </c>
      <c r="AB9" s="166" t="str">
        <f t="shared" si="10"/>
        <v/>
      </c>
      <c r="AC9" s="64" t="str">
        <f t="shared" si="13"/>
        <v/>
      </c>
      <c r="AD9" s="239" t="str">
        <f t="shared" si="11"/>
        <v/>
      </c>
      <c r="AE9" s="4">
        <f t="shared" si="6"/>
        <v>0</v>
      </c>
    </row>
    <row r="10" spans="1:31" ht="16.5" thickBot="1" x14ac:dyDescent="0.3">
      <c r="A10" s="100" t="str">
        <f t="shared" si="0"/>
        <v>Donderdag</v>
      </c>
      <c r="B10" s="226">
        <f t="shared" si="7"/>
        <v>46303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41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5" customHeight="1" thickBot="1" x14ac:dyDescent="0.3">
      <c r="A11" s="100" t="str">
        <f t="shared" si="0"/>
        <v>Vrijdag</v>
      </c>
      <c r="B11" s="226">
        <f t="shared" si="7"/>
        <v>46304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4"/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41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0"/>
        <v>Zaterdag</v>
      </c>
      <c r="B12" s="226">
        <f t="shared" si="7"/>
        <v>46305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4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41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4">Z4</f>
        <v>40</v>
      </c>
      <c r="AA12" s="207">
        <f t="shared" ref="AA12:AC17" si="15">IF(AA4="","",AA4*24)</f>
        <v>0</v>
      </c>
      <c r="AB12" s="207">
        <f t="shared" si="15"/>
        <v>0</v>
      </c>
      <c r="AC12" s="203">
        <f t="shared" si="15"/>
        <v>0</v>
      </c>
      <c r="AE12" s="4">
        <f t="shared" si="6"/>
        <v>0</v>
      </c>
    </row>
    <row r="13" spans="1:31" x14ac:dyDescent="0.25">
      <c r="A13" s="100" t="str">
        <f t="shared" si="0"/>
        <v>Zondag</v>
      </c>
      <c r="B13" s="226">
        <f t="shared" si="7"/>
        <v>46306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4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41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4"/>
        <v>41</v>
      </c>
      <c r="AA13" s="208">
        <f t="shared" si="15"/>
        <v>0</v>
      </c>
      <c r="AB13" s="208">
        <f t="shared" si="15"/>
        <v>0</v>
      </c>
      <c r="AC13" s="204">
        <f t="shared" si="15"/>
        <v>0</v>
      </c>
      <c r="AE13" s="4">
        <f t="shared" si="6"/>
        <v>0</v>
      </c>
    </row>
    <row r="14" spans="1:31" x14ac:dyDescent="0.25">
      <c r="A14" s="100" t="str">
        <f t="shared" si="0"/>
        <v>Maandag</v>
      </c>
      <c r="B14" s="226">
        <f t="shared" si="7"/>
        <v>46307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4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42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4"/>
        <v>42</v>
      </c>
      <c r="AA14" s="208">
        <f t="shared" si="15"/>
        <v>0</v>
      </c>
      <c r="AB14" s="208">
        <f t="shared" si="15"/>
        <v>0</v>
      </c>
      <c r="AC14" s="204">
        <f t="shared" si="15"/>
        <v>0</v>
      </c>
      <c r="AE14" s="4">
        <f t="shared" si="6"/>
        <v>0</v>
      </c>
    </row>
    <row r="15" spans="1:31" x14ac:dyDescent="0.25">
      <c r="A15" s="100" t="str">
        <f t="shared" si="0"/>
        <v>Dinsdag</v>
      </c>
      <c r="B15" s="226">
        <f t="shared" si="7"/>
        <v>46308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4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42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4"/>
        <v>43</v>
      </c>
      <c r="AA15" s="208">
        <f t="shared" si="15"/>
        <v>0</v>
      </c>
      <c r="AB15" s="208">
        <f t="shared" si="15"/>
        <v>0</v>
      </c>
      <c r="AC15" s="204">
        <f t="shared" si="15"/>
        <v>0</v>
      </c>
      <c r="AE15" s="4">
        <f t="shared" si="6"/>
        <v>0</v>
      </c>
    </row>
    <row r="16" spans="1:31" x14ac:dyDescent="0.25">
      <c r="A16" s="100" t="str">
        <f t="shared" si="0"/>
        <v>Woensdag</v>
      </c>
      <c r="B16" s="226">
        <f t="shared" si="7"/>
        <v>46309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4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42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4"/>
        <v>44</v>
      </c>
      <c r="AA16" s="208">
        <f t="shared" si="15"/>
        <v>0</v>
      </c>
      <c r="AB16" s="208">
        <f t="shared" si="15"/>
        <v>0</v>
      </c>
      <c r="AC16" s="204">
        <f t="shared" si="15"/>
        <v>0</v>
      </c>
      <c r="AE16" s="4">
        <f t="shared" si="6"/>
        <v>0</v>
      </c>
    </row>
    <row r="17" spans="1:31" ht="16.5" thickBot="1" x14ac:dyDescent="0.3">
      <c r="A17" s="100" t="str">
        <f t="shared" si="0"/>
        <v>Donderdag</v>
      </c>
      <c r="B17" s="226">
        <f t="shared" si="7"/>
        <v>46310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42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4"/>
        <v/>
      </c>
      <c r="AA17" s="209" t="str">
        <f t="shared" si="15"/>
        <v/>
      </c>
      <c r="AB17" s="209" t="str">
        <f t="shared" si="15"/>
        <v/>
      </c>
      <c r="AC17" s="205" t="str">
        <f t="shared" si="15"/>
        <v/>
      </c>
      <c r="AE17" s="4">
        <f t="shared" si="6"/>
        <v>0</v>
      </c>
    </row>
    <row r="18" spans="1:31" x14ac:dyDescent="0.25">
      <c r="A18" s="100" t="str">
        <f t="shared" si="0"/>
        <v>Vrijdag</v>
      </c>
      <c r="B18" s="226">
        <f t="shared" si="7"/>
        <v>46311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42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6"/>
        <v>0</v>
      </c>
    </row>
    <row r="19" spans="1:31" x14ac:dyDescent="0.25">
      <c r="A19" s="100" t="str">
        <f t="shared" si="0"/>
        <v>Zaterdag</v>
      </c>
      <c r="B19" s="226">
        <f t="shared" si="7"/>
        <v>46312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42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6"/>
        <v>0</v>
      </c>
    </row>
    <row r="20" spans="1:31" x14ac:dyDescent="0.25">
      <c r="A20" s="100" t="str">
        <f t="shared" si="0"/>
        <v>Zondag</v>
      </c>
      <c r="B20" s="226">
        <f t="shared" si="7"/>
        <v>46313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42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6"/>
        <v>0</v>
      </c>
    </row>
    <row r="21" spans="1:31" x14ac:dyDescent="0.25">
      <c r="A21" s="100" t="str">
        <f t="shared" si="0"/>
        <v>Maandag</v>
      </c>
      <c r="B21" s="226">
        <f t="shared" si="7"/>
        <v>46314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43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6"/>
        <v>0</v>
      </c>
    </row>
    <row r="22" spans="1:31" x14ac:dyDescent="0.25">
      <c r="A22" s="100" t="str">
        <f t="shared" si="0"/>
        <v>Dinsdag</v>
      </c>
      <c r="B22" s="226">
        <f t="shared" si="7"/>
        <v>46315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43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6"/>
        <v>0</v>
      </c>
    </row>
    <row r="23" spans="1:31" x14ac:dyDescent="0.25">
      <c r="A23" s="100" t="str">
        <f t="shared" si="0"/>
        <v>Woensdag</v>
      </c>
      <c r="B23" s="226">
        <f t="shared" si="7"/>
        <v>46316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43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6"/>
        <v>0</v>
      </c>
    </row>
    <row r="24" spans="1:31" x14ac:dyDescent="0.25">
      <c r="A24" s="100" t="str">
        <f t="shared" si="0"/>
        <v>Donderdag</v>
      </c>
      <c r="B24" s="226">
        <f t="shared" si="7"/>
        <v>46317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43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6"/>
        <v>0</v>
      </c>
    </row>
    <row r="25" spans="1:31" x14ac:dyDescent="0.25">
      <c r="A25" s="100" t="str">
        <f t="shared" si="0"/>
        <v>Vrijdag</v>
      </c>
      <c r="B25" s="226">
        <f t="shared" si="7"/>
        <v>46318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43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6"/>
        <v>0</v>
      </c>
    </row>
    <row r="26" spans="1:31" x14ac:dyDescent="0.25">
      <c r="A26" s="100" t="str">
        <f t="shared" si="0"/>
        <v>Zaterdag</v>
      </c>
      <c r="B26" s="226">
        <f t="shared" si="7"/>
        <v>46319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43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6"/>
        <v>0</v>
      </c>
    </row>
    <row r="27" spans="1:31" x14ac:dyDescent="0.25">
      <c r="A27" s="100" t="str">
        <f t="shared" si="0"/>
        <v>Zondag</v>
      </c>
      <c r="B27" s="226">
        <f t="shared" si="7"/>
        <v>46320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43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6"/>
        <v>0</v>
      </c>
    </row>
    <row r="28" spans="1:31" x14ac:dyDescent="0.25">
      <c r="A28" s="100" t="str">
        <f t="shared" si="0"/>
        <v>Maandag</v>
      </c>
      <c r="B28" s="226">
        <f t="shared" si="7"/>
        <v>46321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44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6"/>
        <v>0</v>
      </c>
    </row>
    <row r="29" spans="1:31" x14ac:dyDescent="0.25">
      <c r="A29" s="100" t="str">
        <f t="shared" si="0"/>
        <v>Dinsdag</v>
      </c>
      <c r="B29" s="226">
        <f t="shared" si="7"/>
        <v>46322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44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6"/>
        <v>0</v>
      </c>
    </row>
    <row r="30" spans="1:31" x14ac:dyDescent="0.25">
      <c r="A30" s="100" t="str">
        <f t="shared" si="0"/>
        <v>Woensdag</v>
      </c>
      <c r="B30" s="226">
        <f t="shared" si="7"/>
        <v>46323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44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6"/>
        <v>0</v>
      </c>
    </row>
    <row r="31" spans="1:31" x14ac:dyDescent="0.25">
      <c r="A31" s="100" t="str">
        <f t="shared" si="0"/>
        <v>Donderdag</v>
      </c>
      <c r="B31" s="226">
        <f t="shared" si="7"/>
        <v>46324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44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6"/>
        <v>0</v>
      </c>
    </row>
    <row r="32" spans="1:31" ht="15.75" customHeight="1" x14ac:dyDescent="0.25">
      <c r="A32" s="100" t="str">
        <f t="shared" si="0"/>
        <v>Vrijdag</v>
      </c>
      <c r="B32" s="226">
        <f t="shared" si="7"/>
        <v>46325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44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6"/>
        <v>0</v>
      </c>
    </row>
    <row r="33" spans="1:31" x14ac:dyDescent="0.25">
      <c r="A33" s="100" t="str">
        <f>IF(WEEKDAY(B33)=1,"Zondag",IF(WEEKDAY(B33)=2,"Maandag",IF(WEEKDAY(B33)=3,"Dinsdag",IF(WEEKDAY(B33)=4,"Woensdag",IF(WEEKDAY(B33)=5,"Donderdag",IF(WEEKDAY(B33)=6,"Vrijdag","Zaterdag"))))))</f>
        <v>Zaterdag</v>
      </c>
      <c r="B33" s="226">
        <f t="shared" si="7"/>
        <v>46326</v>
      </c>
      <c r="C33" s="149"/>
      <c r="D33" s="149"/>
      <c r="E33" s="149"/>
      <c r="F33" s="149"/>
      <c r="G33" s="149"/>
      <c r="H33" s="79"/>
      <c r="I33" s="149"/>
      <c r="J33" s="188" t="str">
        <f t="shared" si="3"/>
        <v/>
      </c>
      <c r="K33" s="150">
        <f>IF(Basisgegevens!$F$1="JA",IF(D33="",0,(1-D33)+(E33)-G33),(E33-D33)-G33)</f>
        <v>0</v>
      </c>
      <c r="L33" s="44" t="str">
        <f t="shared" si="4"/>
        <v/>
      </c>
      <c r="M33" s="150">
        <f t="shared" si="8"/>
        <v>0</v>
      </c>
      <c r="N33" s="44" t="str">
        <f t="shared" si="2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R33" s="153"/>
      <c r="S33" s="153"/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5"/>
        <v>44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09"/>
      <c r="AA33" s="309"/>
      <c r="AB33" s="309"/>
      <c r="AC33" s="309"/>
      <c r="AE33" s="4">
        <f t="shared" si="6"/>
        <v>0</v>
      </c>
    </row>
    <row r="34" spans="1:31" x14ac:dyDescent="0.25">
      <c r="A34" s="2"/>
      <c r="B34" s="8"/>
      <c r="C34" s="8"/>
      <c r="D34" s="5"/>
      <c r="E34" s="5"/>
      <c r="F34" s="5"/>
      <c r="G34" s="5"/>
      <c r="H34" s="5"/>
      <c r="I34" s="5"/>
      <c r="K34" s="3"/>
      <c r="L34" s="3"/>
      <c r="M34" s="3"/>
      <c r="N34" s="44"/>
      <c r="O34" s="3"/>
      <c r="P34" s="6"/>
      <c r="Q34" s="7"/>
      <c r="T34" s="4"/>
      <c r="W34" s="230"/>
      <c r="Z34" s="309"/>
      <c r="AA34" s="309"/>
      <c r="AB34" s="309"/>
      <c r="AC34" s="309"/>
    </row>
    <row r="35" spans="1:31" x14ac:dyDescent="0.25">
      <c r="A35" s="14"/>
      <c r="B35" s="2"/>
      <c r="C35" s="2"/>
      <c r="D35" s="80"/>
      <c r="E35" s="80"/>
      <c r="F35" s="80"/>
      <c r="H35" s="80"/>
      <c r="I35" s="93" t="s">
        <v>15</v>
      </c>
      <c r="J35" s="190"/>
      <c r="K35" s="17">
        <f t="shared" ref="K35:Y35" si="16">SUM(K3:K33)</f>
        <v>0</v>
      </c>
      <c r="L35" s="98">
        <f t="shared" si="16"/>
        <v>0</v>
      </c>
      <c r="M35" s="89">
        <f t="shared" si="16"/>
        <v>0</v>
      </c>
      <c r="N35" s="76">
        <f t="shared" si="16"/>
        <v>0</v>
      </c>
      <c r="O35" s="17">
        <f t="shared" si="16"/>
        <v>0</v>
      </c>
      <c r="P35" s="15">
        <f t="shared" si="16"/>
        <v>0</v>
      </c>
      <c r="Q35" s="16">
        <f t="shared" si="16"/>
        <v>0</v>
      </c>
      <c r="R35" s="155">
        <f t="shared" si="16"/>
        <v>0</v>
      </c>
      <c r="S35" s="155">
        <f t="shared" ref="S35" si="17">SUM(S3:S33)</f>
        <v>0</v>
      </c>
      <c r="T35" s="31"/>
      <c r="U35" s="141"/>
      <c r="V35" s="31"/>
      <c r="W35" s="233"/>
      <c r="X35" s="32">
        <f t="shared" si="16"/>
        <v>0</v>
      </c>
      <c r="Y35" s="32">
        <f t="shared" si="16"/>
        <v>0</v>
      </c>
      <c r="Z35" s="309"/>
      <c r="AA35" s="309"/>
      <c r="AB35" s="309"/>
      <c r="AC35" s="309"/>
      <c r="AE35" s="4">
        <f>SUM(AE3:AE33)</f>
        <v>0</v>
      </c>
    </row>
    <row r="36" spans="1:31" x14ac:dyDescent="0.25">
      <c r="A36" s="41"/>
      <c r="B36" s="41"/>
      <c r="C36" s="41"/>
      <c r="D36" s="41"/>
      <c r="E36" s="41"/>
      <c r="F36" s="41"/>
      <c r="G36" s="41"/>
      <c r="H36" s="41"/>
      <c r="I36" s="41"/>
      <c r="K36" s="41"/>
      <c r="L36" s="84"/>
      <c r="M36" s="306" t="s">
        <v>112</v>
      </c>
      <c r="N36" s="307"/>
      <c r="O36" s="41"/>
      <c r="P36" s="88"/>
      <c r="Q36" s="43"/>
      <c r="R36" s="293">
        <f>R35+S35</f>
        <v>0</v>
      </c>
      <c r="S36" s="294"/>
      <c r="T36" s="41"/>
      <c r="V36" s="41"/>
      <c r="W36" s="232"/>
      <c r="X36" s="41"/>
      <c r="Y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41"/>
      <c r="H37" s="41"/>
      <c r="I37" s="41"/>
      <c r="K37" s="41"/>
      <c r="L37" s="79"/>
      <c r="M37" s="292" t="s">
        <v>111</v>
      </c>
      <c r="N37" s="292"/>
      <c r="O37" s="84"/>
      <c r="P37" s="84"/>
      <c r="Q37" s="80"/>
      <c r="R37" s="293"/>
      <c r="S37" s="294"/>
      <c r="T37" s="100"/>
      <c r="V37" s="41"/>
      <c r="W37" s="232"/>
      <c r="X37" s="41"/>
      <c r="Y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80"/>
      <c r="H38" s="41"/>
      <c r="I38" s="41"/>
      <c r="K38" s="80"/>
      <c r="L38" s="79"/>
      <c r="M38" s="292" t="s">
        <v>113</v>
      </c>
      <c r="N38" s="292"/>
      <c r="O38" s="41"/>
      <c r="P38" s="88"/>
      <c r="Q38" s="43"/>
      <c r="R38" s="293">
        <f>((R36*Basisgegevens!D44)-(R37*Basisgegevens!D47))/Basisgegevens!D44</f>
        <v>0</v>
      </c>
      <c r="S38" s="294"/>
      <c r="T38" s="100"/>
      <c r="V38" s="41"/>
      <c r="W38" s="232"/>
      <c r="X38" s="41"/>
      <c r="Y38" s="41"/>
      <c r="Z38" s="309"/>
      <c r="AA38" s="309"/>
      <c r="AB38" s="309"/>
      <c r="AC38" s="309"/>
    </row>
    <row r="39" spans="1:31" x14ac:dyDescent="0.25">
      <c r="A39" s="41"/>
      <c r="B39" s="41"/>
      <c r="C39" s="41"/>
      <c r="D39" s="41"/>
      <c r="E39" s="80"/>
      <c r="F39" s="80"/>
      <c r="G39" s="41"/>
      <c r="H39" s="41"/>
      <c r="I39" s="41"/>
      <c r="K39" s="41"/>
      <c r="L39" s="79"/>
      <c r="M39" s="4"/>
      <c r="O39" s="41"/>
      <c r="P39" s="88"/>
      <c r="Q39" s="43"/>
      <c r="R39" s="46"/>
      <c r="S39" s="46"/>
      <c r="T39" s="100"/>
      <c r="V39" s="41"/>
      <c r="W39" s="41"/>
      <c r="X39" s="41"/>
      <c r="Y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41"/>
      <c r="O40" s="41"/>
      <c r="P40" s="88"/>
      <c r="Q40" s="43"/>
      <c r="R40" s="46"/>
      <c r="S40" s="46"/>
      <c r="T40" s="100"/>
      <c r="V40" s="41"/>
      <c r="W40" s="41"/>
      <c r="X40" s="41"/>
      <c r="Y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9"/>
      <c r="O41" s="41"/>
      <c r="P41" s="41"/>
      <c r="Q41" s="41"/>
      <c r="R41" s="46"/>
      <c r="S41" s="46"/>
      <c r="T41" s="100"/>
      <c r="V41" s="41"/>
      <c r="W41" s="41"/>
      <c r="X41" s="41"/>
      <c r="Y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6"/>
      <c r="S42" s="46"/>
      <c r="T42" s="100"/>
      <c r="V42" s="41"/>
      <c r="W42" s="41"/>
      <c r="X42" s="41"/>
      <c r="Y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O43" s="41"/>
      <c r="P43" s="88"/>
      <c r="Q43" s="43"/>
      <c r="R43" s="46"/>
      <c r="S43" s="46"/>
      <c r="T43" s="100"/>
      <c r="V43" s="41"/>
      <c r="W43" s="41"/>
      <c r="X43" s="41"/>
      <c r="Y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100"/>
      <c r="V44" s="41"/>
      <c r="W44" s="41"/>
      <c r="X44" s="41"/>
      <c r="Y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M45" s="4"/>
      <c r="O45" s="41"/>
      <c r="P45" s="88"/>
      <c r="Q45" s="43"/>
      <c r="R45" s="46"/>
      <c r="S45" s="46"/>
      <c r="T45" s="100"/>
      <c r="V45" s="41"/>
      <c r="W45" s="41"/>
      <c r="X45" s="41"/>
      <c r="Y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100"/>
      <c r="V46" s="41"/>
      <c r="W46" s="41"/>
      <c r="X46" s="41"/>
      <c r="Y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100"/>
      <c r="V47" s="41"/>
      <c r="W47" s="41"/>
      <c r="X47" s="41"/>
      <c r="Y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100"/>
      <c r="V48" s="41"/>
      <c r="W48" s="41"/>
      <c r="X48" s="41"/>
      <c r="Y48" s="41"/>
    </row>
    <row r="49" spans="1:25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100"/>
      <c r="V49" s="41"/>
      <c r="W49" s="41"/>
      <c r="X49" s="41"/>
      <c r="Y49" s="41"/>
    </row>
    <row r="50" spans="1:25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100"/>
      <c r="V50" s="41"/>
      <c r="W50" s="41"/>
      <c r="X50" s="41"/>
      <c r="Y50" s="41"/>
    </row>
    <row r="51" spans="1:25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100"/>
      <c r="V51" s="41"/>
      <c r="W51" s="41"/>
      <c r="X51" s="41"/>
      <c r="Y51" s="41"/>
    </row>
    <row r="52" spans="1:25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100"/>
      <c r="V52" s="41"/>
      <c r="W52" s="41"/>
      <c r="X52" s="41"/>
      <c r="Y52" s="41"/>
    </row>
    <row r="53" spans="1:25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100"/>
      <c r="V53" s="41"/>
      <c r="W53" s="41"/>
      <c r="X53" s="41"/>
      <c r="Y53" s="41"/>
    </row>
    <row r="54" spans="1:25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100"/>
      <c r="V54" s="41"/>
      <c r="W54" s="41"/>
      <c r="X54" s="41"/>
      <c r="Y54" s="41"/>
    </row>
    <row r="55" spans="1:25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100"/>
      <c r="V55" s="41"/>
      <c r="W55" s="41"/>
      <c r="X55" s="41"/>
      <c r="Y55" s="41"/>
    </row>
    <row r="56" spans="1:25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6"/>
      <c r="S56" s="46"/>
      <c r="T56" s="100"/>
      <c r="V56" s="41"/>
      <c r="W56" s="41"/>
      <c r="X56" s="41"/>
      <c r="Y56" s="41"/>
    </row>
    <row r="65536" spans="4:9" x14ac:dyDescent="0.25">
      <c r="D65536" s="5"/>
      <c r="E65536" s="5"/>
      <c r="F65536" s="5"/>
      <c r="I65536" s="5"/>
    </row>
  </sheetData>
  <mergeCells count="17">
    <mergeCell ref="R36:S36"/>
    <mergeCell ref="J1:J2"/>
    <mergeCell ref="M1:N1"/>
    <mergeCell ref="M36:N36"/>
    <mergeCell ref="Z18:AC38"/>
    <mergeCell ref="M37:N37"/>
    <mergeCell ref="M38:N38"/>
    <mergeCell ref="R37:S37"/>
    <mergeCell ref="R38:S38"/>
    <mergeCell ref="A1:B2"/>
    <mergeCell ref="C1:G1"/>
    <mergeCell ref="T1:T2"/>
    <mergeCell ref="V1:V2"/>
    <mergeCell ref="W1:W2"/>
    <mergeCell ref="U1:U2"/>
    <mergeCell ref="K1:L1"/>
    <mergeCell ref="H1:I1"/>
  </mergeCells>
  <phoneticPr fontId="0" type="noConversion"/>
  <conditionalFormatting sqref="A3:W33">
    <cfRule type="expression" dxfId="11" priority="1" stopIfTrue="1">
      <formula>WEEKDAY($B3)=7</formula>
    </cfRule>
    <cfRule type="expression" dxfId="10" priority="2" stopIfTrue="1">
      <formula>WEEKDAY($B3)=1</formula>
    </cfRule>
  </conditionalFormatting>
  <dataValidations count="1">
    <dataValidation type="list" allowBlank="1" sqref="H3:H33" xr:uid="{00000000-0002-0000-0900-000000000000}">
      <formula1>Speciale_dagen</formula1>
    </dataValidation>
  </dataValidations>
  <printOptions gridLines="1"/>
  <pageMargins left="0.78740157480314965" right="0.78740157480314965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12">
    <pageSetUpPr fitToPage="1"/>
  </sheetPr>
  <dimension ref="A1:AE64"/>
  <sheetViews>
    <sheetView zoomScaleNormal="100" workbookViewId="0">
      <pane ySplit="2" topLeftCell="A3" activePane="bottomLeft" state="frozen"/>
      <selection activeCell="F48" sqref="F48"/>
      <selection pane="bottomLeft" activeCell="H13" sqref="H13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10" customWidth="1"/>
    <col min="20" max="20" width="17.375" style="4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1" si="0">IF(WEEKDAY(B3)=1,"Zondag",IF(WEEKDAY(B3)=2,"Maandag",IF(WEEKDAY(B3)=3,"Dinsdag",IF(WEEKDAY(B3)=4,"Woensdag",IF(WEEKDAY(B3)=5,"Donderdag",IF(WEEKDAY(B3)=6,"Vrijdag","Zaterdag"))))))</f>
        <v>Zondag</v>
      </c>
      <c r="B3" s="226">
        <f>Okt!B33+1</f>
        <v>46327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53"/>
      <c r="S3" s="153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>FD</v>
      </c>
      <c r="W3" s="220">
        <f>IF(WEEKDAY(B3)=1,(WEEKNUM(DATE(YEAR(B3),MONTH(B3),DAY(B3)),)-1),WEEKNUM(DATE(YEAR(B3),MONTH(B3),DAY(B3)),))</f>
        <v>44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29" t="s">
        <v>0</v>
      </c>
      <c r="AB3" s="129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Maandag</v>
      </c>
      <c r="B4" s="226">
        <f>B3+1</f>
        <v>46328</v>
      </c>
      <c r="C4" s="149"/>
      <c r="D4" s="149"/>
      <c r="E4" s="149"/>
      <c r="F4" s="149"/>
      <c r="G4" s="149"/>
      <c r="H4" s="79"/>
      <c r="I4" s="149"/>
      <c r="J4" s="188" t="str">
        <f t="shared" ref="J4:J32" si="3">IF(I4="","",IF(HOUR(I4)&lt;5,0.5,1))</f>
        <v/>
      </c>
      <c r="K4" s="150">
        <f>IF(Basisgegevens!$F$1="JA",IF(D4="",0,(1-D4)+(E4)-G4),(E4-D4)-G4)</f>
        <v>0</v>
      </c>
      <c r="L4" s="44" t="str">
        <f t="shared" ref="L4:L32" si="4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53"/>
      <c r="S4" s="153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2" si="5">IF(WEEKDAY(B4)=1,(WEEKNUM(DATE(YEAR(B4),MONTH(B4),DAY(B4)),)-1),WEEKNUM(DATE(YEAR(B4),MONTH(B4),DAY(B4)),))</f>
        <v>45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LOOKUP(SMALL(W3:W32,1),W3:W32,W3:W32)</f>
        <v>44</v>
      </c>
      <c r="AA4" s="210">
        <f>IF($Z4="","",SUMIFS($K$3:$K$32,$W$3:$W$32,$Z4,$A$3:$A$32,"&lt;&gt;Zaterdag",$A$3:$A$32,"&lt;&gt;Zondag"))</f>
        <v>0</v>
      </c>
      <c r="AB4" s="210">
        <f>IF(Z4="","",SUMIFS(K$3:K$32,W$3:W$32,Z4,A$3:A$32,"&lt;&gt;Zaterdag",A$3:A$32,"&lt;&gt;Zondag")+SUMIFS(I$3:I$32,W$3:W$32,Z4,A$3:A$32,"&lt;&gt;Zaterdag",A$3:A$32,"&lt;&gt;Zondag"))</f>
        <v>0</v>
      </c>
      <c r="AC4" s="167">
        <f>IF($Z4="","",SUMIFS($M$3:$M$32,$W$3:$W$32,$Z4,$A$3:$A$32,"&lt;&gt;Zaterdag",$A$3:$A$32,"&lt;&gt;Zondag"))</f>
        <v>0</v>
      </c>
      <c r="AD4" s="237">
        <f>IF($Z4="","",SUMIFS($K$3:$K$32,$W$3:$W$32,$Z4,$A$3:$A$32,"&lt;&gt;Zaterdag",$A$3:$A$32,"&lt;&gt;Zondag")+SUMIFS($I$3:$I$32,$W$3:$W$32,$Z4,$A$3:$A$32,"&lt;&gt;Zaterdag",$A$3:$A$32,"&lt;&gt;Zondag",$H$3:$H$32,"=ADV")+SUMIFS($I$3:$I$32,$W$3:$W$32,$Z4,$A$3:$A$32,"&lt;&gt;Zaterdag",$A$3:$A$32,"&lt;&gt;Zondag",$H$3:$H$32,"=BF")+SUMIFS($I$3:$I$32,$W$3:$W$32,$Z4,$A$3:$A$32,"&lt;&gt;Zaterdag",$A$3:$A$32,"&lt;&gt;Zondag",$H$3:$H$32,"=BIR")+SUMIFS($I$3:$I$32,$W$3:$W$32,$Z4,$A$3:$A$32,"&lt;&gt;Zaterdag",$A$3:$A$32,"&lt;&gt;Zondag",$H$3:$H$32,"=OPL"))</f>
        <v>0</v>
      </c>
      <c r="AE4" s="4">
        <f t="shared" ref="AE4:AE32" si="6">IF(L4="",0,IF(L4&gt;=5,1,0))</f>
        <v>0</v>
      </c>
    </row>
    <row r="5" spans="1:31" x14ac:dyDescent="0.25">
      <c r="A5" s="100" t="str">
        <f t="shared" si="0"/>
        <v>Dinsdag</v>
      </c>
      <c r="B5" s="226">
        <f t="shared" ref="B5:B31" si="7">B4+1</f>
        <v>46329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2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153"/>
      <c r="S5" s="153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45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IF(W$32=Z4,"",Z4+1)</f>
        <v>45</v>
      </c>
      <c r="AA5" s="211">
        <f t="shared" ref="AA5:AA9" si="9">IF($Z5="","",SUMIFS($K$3:$K$32,$W$3:$W$32,$Z5,$A$3:$A$32,"&lt;&gt;Zaterdag",$A$3:$A$32,"&lt;&gt;Zondag"))</f>
        <v>0</v>
      </c>
      <c r="AB5" s="211">
        <f t="shared" ref="AB5:AB9" si="10">IF(Z5="","",SUMIFS(K$3:K$32,W$3:W$32,Z5,A$3:A$32,"&lt;&gt;Zaterdag",A$3:A$32,"&lt;&gt;Zondag")+SUMIFS(I$3:I$32,W$3:W$32,Z5,A$3:A$32,"&lt;&gt;Zaterdag",A$3:A$32,"&lt;&gt;Zondag"))</f>
        <v>0</v>
      </c>
      <c r="AC5" s="168">
        <f t="shared" ref="AC5:AC9" si="11">IF($Z5="","",SUMIFS($M$3:$M$32,$W$3:$W$32,$Z5,$A$3:$A$32,"&lt;&gt;Zaterdag",$A$3:$A$32,"&lt;&gt;Zondag"))</f>
        <v>0</v>
      </c>
      <c r="AD5" s="237">
        <f t="shared" ref="AD5:AD9" si="12">IF($Z5="","",SUMIFS($K$3:$K$32,$W$3:$W$32,$Z5,$A$3:$A$32,"&lt;&gt;Zaterdag",$A$3:$A$32,"&lt;&gt;Zondag")+SUMIFS($I$3:$I$32,$W$3:$W$32,$Z5,$A$3:$A$32,"&lt;&gt;Zaterdag",$A$3:$A$32,"&lt;&gt;Zondag",$H$3:$H$32,"=ADV")+SUMIFS($I$3:$I$32,$W$3:$W$32,$Z5,$A$3:$A$32,"&lt;&gt;Zaterdag",$A$3:$A$32,"&lt;&gt;Zondag",$H$3:$H$32,"=BF")+SUMIFS($I$3:$I$32,$W$3:$W$32,$Z5,$A$3:$A$32,"&lt;&gt;Zaterdag",$A$3:$A$32,"&lt;&gt;Zondag",$H$3:$H$32,"=BIR")+SUMIFS($I$3:$I$32,$W$3:$W$32,$Z5,$A$3:$A$32,"&lt;&gt;Zaterdag",$A$3:$A$32,"&lt;&gt;Zondag",$H$3:$H$32,"=OPL"))</f>
        <v>0</v>
      </c>
      <c r="AE5" s="4">
        <f t="shared" si="6"/>
        <v>0</v>
      </c>
    </row>
    <row r="6" spans="1:31" x14ac:dyDescent="0.25">
      <c r="A6" s="100" t="str">
        <f t="shared" si="0"/>
        <v>Woensdag</v>
      </c>
      <c r="B6" s="226">
        <f t="shared" si="7"/>
        <v>46330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153"/>
      <c r="S6" s="153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45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>IF(W$32=Z5,"",Z5+1)</f>
        <v>46</v>
      </c>
      <c r="AA6" s="211">
        <f t="shared" si="9"/>
        <v>0</v>
      </c>
      <c r="AB6" s="211">
        <f t="shared" si="10"/>
        <v>0</v>
      </c>
      <c r="AC6" s="168">
        <f t="shared" si="11"/>
        <v>0</v>
      </c>
      <c r="AD6" s="237">
        <f t="shared" si="12"/>
        <v>0</v>
      </c>
      <c r="AE6" s="4">
        <f t="shared" si="6"/>
        <v>0</v>
      </c>
    </row>
    <row r="7" spans="1:31" x14ac:dyDescent="0.25">
      <c r="A7" s="100" t="str">
        <f t="shared" si="0"/>
        <v>Donderdag</v>
      </c>
      <c r="B7" s="226">
        <f t="shared" si="7"/>
        <v>46331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153"/>
      <c r="S7" s="153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45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>IF(W$32=Z6,"",Z6+1)</f>
        <v>47</v>
      </c>
      <c r="AA7" s="211">
        <f t="shared" si="9"/>
        <v>0</v>
      </c>
      <c r="AB7" s="211">
        <f t="shared" si="10"/>
        <v>0</v>
      </c>
      <c r="AC7" s="168">
        <f t="shared" si="11"/>
        <v>0</v>
      </c>
      <c r="AD7" s="237">
        <f t="shared" si="12"/>
        <v>0</v>
      </c>
      <c r="AE7" s="4">
        <f t="shared" si="6"/>
        <v>0</v>
      </c>
    </row>
    <row r="8" spans="1:31" x14ac:dyDescent="0.25">
      <c r="A8" s="100" t="str">
        <f t="shared" si="0"/>
        <v>Vrijdag</v>
      </c>
      <c r="B8" s="226">
        <f>B7+1</f>
        <v>46332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ref="L8" si="13">IF(D8="","",ROUNDDOWN((HOUR(K8))+MINUTE(K8)/60,2))</f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153"/>
      <c r="S8" s="153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45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>IF(W$32=Z7,"",Z7+1)</f>
        <v>48</v>
      </c>
      <c r="AA8" s="211">
        <f t="shared" si="9"/>
        <v>0</v>
      </c>
      <c r="AB8" s="211">
        <f t="shared" si="10"/>
        <v>0</v>
      </c>
      <c r="AC8" s="168">
        <f t="shared" si="11"/>
        <v>0</v>
      </c>
      <c r="AD8" s="237">
        <f t="shared" si="12"/>
        <v>0</v>
      </c>
      <c r="AE8" s="4">
        <f t="shared" si="6"/>
        <v>0</v>
      </c>
    </row>
    <row r="9" spans="1:31" ht="16.5" thickBot="1" x14ac:dyDescent="0.3">
      <c r="A9" s="100" t="str">
        <f t="shared" si="0"/>
        <v>Zaterdag</v>
      </c>
      <c r="B9" s="226">
        <f t="shared" si="7"/>
        <v>46333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153"/>
      <c r="S9" s="153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45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>
        <f>IF(W$32=Z8,"",Z8+1)</f>
        <v>49</v>
      </c>
      <c r="AA9" s="212">
        <f t="shared" si="9"/>
        <v>0</v>
      </c>
      <c r="AB9" s="212">
        <f t="shared" si="10"/>
        <v>0</v>
      </c>
      <c r="AC9" s="64">
        <f t="shared" si="11"/>
        <v>0</v>
      </c>
      <c r="AD9" s="239">
        <f t="shared" si="12"/>
        <v>0</v>
      </c>
      <c r="AE9" s="4">
        <f t="shared" si="6"/>
        <v>0</v>
      </c>
    </row>
    <row r="10" spans="1:31" ht="16.5" thickBot="1" x14ac:dyDescent="0.3">
      <c r="A10" s="100" t="str">
        <f t="shared" si="0"/>
        <v>Zondag</v>
      </c>
      <c r="B10" s="226">
        <f t="shared" si="7"/>
        <v>46334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153"/>
      <c r="S10" s="153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45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6.5" thickBot="1" x14ac:dyDescent="0.3">
      <c r="A11" s="100" t="str">
        <f t="shared" si="0"/>
        <v>Maandag</v>
      </c>
      <c r="B11" s="226">
        <f t="shared" si="7"/>
        <v>46335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ref="L11:L16" si="14">IF(D11="","",ROUNDDOWN((HOUR(K11))+MINUTE(K11)/60,2))</f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153"/>
      <c r="S11" s="153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46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0"/>
        <v>Dinsdag</v>
      </c>
      <c r="B12" s="226">
        <f t="shared" si="7"/>
        <v>46336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14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153"/>
      <c r="S12" s="153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46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5">Z4</f>
        <v>44</v>
      </c>
      <c r="AA12" s="207">
        <f t="shared" ref="AA12:AC17" si="16">IF(AA4="","",AA4*24)</f>
        <v>0</v>
      </c>
      <c r="AB12" s="207">
        <f t="shared" si="16"/>
        <v>0</v>
      </c>
      <c r="AC12" s="203">
        <f t="shared" si="16"/>
        <v>0</v>
      </c>
      <c r="AE12" s="4">
        <f t="shared" si="6"/>
        <v>0</v>
      </c>
    </row>
    <row r="13" spans="1:31" x14ac:dyDescent="0.25">
      <c r="A13" s="100" t="str">
        <f t="shared" si="0"/>
        <v>Woensdag</v>
      </c>
      <c r="B13" s="226">
        <f t="shared" si="7"/>
        <v>46337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14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153"/>
      <c r="S13" s="153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>FD</v>
      </c>
      <c r="W13" s="220">
        <f t="shared" si="5"/>
        <v>46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5"/>
        <v>45</v>
      </c>
      <c r="AA13" s="208">
        <f t="shared" si="16"/>
        <v>0</v>
      </c>
      <c r="AB13" s="208">
        <f t="shared" si="16"/>
        <v>0</v>
      </c>
      <c r="AC13" s="204">
        <f t="shared" si="16"/>
        <v>0</v>
      </c>
      <c r="AE13" s="4">
        <f t="shared" si="6"/>
        <v>0</v>
      </c>
    </row>
    <row r="14" spans="1:31" x14ac:dyDescent="0.25">
      <c r="A14" s="100" t="str">
        <f t="shared" si="0"/>
        <v>Donderdag</v>
      </c>
      <c r="B14" s="226">
        <f t="shared" si="7"/>
        <v>46338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14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153"/>
      <c r="S14" s="153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46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5"/>
        <v>46</v>
      </c>
      <c r="AA14" s="208">
        <f t="shared" si="16"/>
        <v>0</v>
      </c>
      <c r="AB14" s="208">
        <f t="shared" si="16"/>
        <v>0</v>
      </c>
      <c r="AC14" s="204">
        <f t="shared" si="16"/>
        <v>0</v>
      </c>
      <c r="AE14" s="4">
        <f t="shared" si="6"/>
        <v>0</v>
      </c>
    </row>
    <row r="15" spans="1:31" x14ac:dyDescent="0.25">
      <c r="A15" s="100" t="str">
        <f t="shared" si="0"/>
        <v>Vrijdag</v>
      </c>
      <c r="B15" s="226">
        <f t="shared" si="7"/>
        <v>46339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14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153"/>
      <c r="S15" s="153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46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5"/>
        <v>47</v>
      </c>
      <c r="AA15" s="208">
        <f t="shared" si="16"/>
        <v>0</v>
      </c>
      <c r="AB15" s="208">
        <f t="shared" si="16"/>
        <v>0</v>
      </c>
      <c r="AC15" s="204">
        <f t="shared" si="16"/>
        <v>0</v>
      </c>
      <c r="AE15" s="4">
        <f t="shared" si="6"/>
        <v>0</v>
      </c>
    </row>
    <row r="16" spans="1:31" x14ac:dyDescent="0.25">
      <c r="A16" s="100" t="str">
        <f t="shared" si="0"/>
        <v>Zaterdag</v>
      </c>
      <c r="B16" s="226">
        <f t="shared" si="7"/>
        <v>46340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14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153"/>
      <c r="S16" s="153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46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5"/>
        <v>48</v>
      </c>
      <c r="AA16" s="208">
        <f t="shared" si="16"/>
        <v>0</v>
      </c>
      <c r="AB16" s="208">
        <f t="shared" si="16"/>
        <v>0</v>
      </c>
      <c r="AC16" s="204">
        <f t="shared" si="16"/>
        <v>0</v>
      </c>
      <c r="AE16" s="4">
        <f t="shared" si="6"/>
        <v>0</v>
      </c>
    </row>
    <row r="17" spans="1:31" ht="16.5" thickBot="1" x14ac:dyDescent="0.3">
      <c r="A17" s="100" t="str">
        <f t="shared" si="0"/>
        <v>Zondag</v>
      </c>
      <c r="B17" s="226">
        <f t="shared" si="7"/>
        <v>46341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153"/>
      <c r="S17" s="153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46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>
        <f t="shared" si="15"/>
        <v>49</v>
      </c>
      <c r="AA17" s="209">
        <f t="shared" si="16"/>
        <v>0</v>
      </c>
      <c r="AB17" s="209">
        <f t="shared" si="16"/>
        <v>0</v>
      </c>
      <c r="AC17" s="205">
        <f t="shared" si="16"/>
        <v>0</v>
      </c>
      <c r="AE17" s="4">
        <f t="shared" si="6"/>
        <v>0</v>
      </c>
    </row>
    <row r="18" spans="1:31" x14ac:dyDescent="0.25">
      <c r="A18" s="100" t="str">
        <f t="shared" si="0"/>
        <v>Maandag</v>
      </c>
      <c r="B18" s="226">
        <f t="shared" si="7"/>
        <v>46342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153"/>
      <c r="S18" s="153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47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6"/>
        <v>0</v>
      </c>
    </row>
    <row r="19" spans="1:31" x14ac:dyDescent="0.25">
      <c r="A19" s="100" t="str">
        <f t="shared" si="0"/>
        <v>Dinsdag</v>
      </c>
      <c r="B19" s="226">
        <f t="shared" si="7"/>
        <v>46343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153"/>
      <c r="S19" s="153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47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6"/>
        <v>0</v>
      </c>
    </row>
    <row r="20" spans="1:31" x14ac:dyDescent="0.25">
      <c r="A20" s="100" t="str">
        <f t="shared" si="0"/>
        <v>Woensdag</v>
      </c>
      <c r="B20" s="226">
        <f t="shared" si="7"/>
        <v>46344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153"/>
      <c r="S20" s="153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47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6"/>
        <v>0</v>
      </c>
    </row>
    <row r="21" spans="1:31" x14ac:dyDescent="0.25">
      <c r="A21" s="100" t="str">
        <f t="shared" si="0"/>
        <v>Donderdag</v>
      </c>
      <c r="B21" s="226">
        <f t="shared" si="7"/>
        <v>46345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153"/>
      <c r="S21" s="153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47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6"/>
        <v>0</v>
      </c>
    </row>
    <row r="22" spans="1:31" x14ac:dyDescent="0.25">
      <c r="A22" s="100" t="str">
        <f t="shared" si="0"/>
        <v>Vrijdag</v>
      </c>
      <c r="B22" s="226">
        <f t="shared" si="7"/>
        <v>46346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153"/>
      <c r="S22" s="153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47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6"/>
        <v>0</v>
      </c>
    </row>
    <row r="23" spans="1:31" x14ac:dyDescent="0.25">
      <c r="A23" s="100" t="str">
        <f t="shared" si="0"/>
        <v>Zaterdag</v>
      </c>
      <c r="B23" s="226">
        <f t="shared" si="7"/>
        <v>46347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153"/>
      <c r="S23" s="153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47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6"/>
        <v>0</v>
      </c>
    </row>
    <row r="24" spans="1:31" x14ac:dyDescent="0.25">
      <c r="A24" s="100" t="str">
        <f t="shared" si="0"/>
        <v>Zondag</v>
      </c>
      <c r="B24" s="226">
        <f t="shared" si="7"/>
        <v>46348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153"/>
      <c r="S24" s="153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47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6"/>
        <v>0</v>
      </c>
    </row>
    <row r="25" spans="1:31" x14ac:dyDescent="0.25">
      <c r="A25" s="100" t="str">
        <f t="shared" si="0"/>
        <v>Maandag</v>
      </c>
      <c r="B25" s="226">
        <f t="shared" si="7"/>
        <v>46349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153"/>
      <c r="S25" s="153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48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6"/>
        <v>0</v>
      </c>
    </row>
    <row r="26" spans="1:31" x14ac:dyDescent="0.25">
      <c r="A26" s="100" t="str">
        <f t="shared" si="0"/>
        <v>Dinsdag</v>
      </c>
      <c r="B26" s="226">
        <f t="shared" si="7"/>
        <v>46350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153"/>
      <c r="S26" s="153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48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6"/>
        <v>0</v>
      </c>
    </row>
    <row r="27" spans="1:31" x14ac:dyDescent="0.25">
      <c r="A27" s="100" t="str">
        <f t="shared" si="0"/>
        <v>Woensdag</v>
      </c>
      <c r="B27" s="226">
        <f t="shared" si="7"/>
        <v>46351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153"/>
      <c r="S27" s="153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/>
      </c>
      <c r="W27" s="220">
        <f t="shared" si="5"/>
        <v>48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6"/>
        <v>0</v>
      </c>
    </row>
    <row r="28" spans="1:31" x14ac:dyDescent="0.25">
      <c r="A28" s="100" t="str">
        <f t="shared" si="0"/>
        <v>Donderdag</v>
      </c>
      <c r="B28" s="226">
        <f t="shared" si="7"/>
        <v>46352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153"/>
      <c r="S28" s="153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48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6"/>
        <v>0</v>
      </c>
    </row>
    <row r="29" spans="1:31" x14ac:dyDescent="0.25">
      <c r="A29" s="100" t="str">
        <f t="shared" si="0"/>
        <v>Vrijdag</v>
      </c>
      <c r="B29" s="226">
        <f t="shared" si="7"/>
        <v>46353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153"/>
      <c r="S29" s="153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48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6"/>
        <v>0</v>
      </c>
    </row>
    <row r="30" spans="1:31" ht="16.5" customHeight="1" x14ac:dyDescent="0.25">
      <c r="A30" s="100" t="str">
        <f t="shared" si="0"/>
        <v>Zaterdag</v>
      </c>
      <c r="B30" s="226">
        <f t="shared" si="7"/>
        <v>46354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153"/>
      <c r="S30" s="153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48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6"/>
        <v>0</v>
      </c>
    </row>
    <row r="31" spans="1:31" x14ac:dyDescent="0.25">
      <c r="A31" s="100" t="str">
        <f t="shared" si="0"/>
        <v>Zondag</v>
      </c>
      <c r="B31" s="226">
        <f t="shared" si="7"/>
        <v>46355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153"/>
      <c r="S31" s="153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48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6"/>
        <v>0</v>
      </c>
    </row>
    <row r="32" spans="1:31" x14ac:dyDescent="0.25">
      <c r="A32" s="100" t="str">
        <f>IF(WEEKDAY(B32)=1,"Zondag",IF(WEEKDAY(B32)=2,"Maandag",IF(WEEKDAY(B32)=3,"Dinsdag",IF(WEEKDAY(B32)=4,"Woensdag",IF(WEEKDAY(B32)=5,"Donderdag",IF(WEEKDAY(B32)=6,"Vrijdag","Zaterdag"))))))</f>
        <v>Maandag</v>
      </c>
      <c r="B32" s="226">
        <f>B31+1</f>
        <v>46356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153"/>
      <c r="S32" s="153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49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6"/>
        <v>0</v>
      </c>
    </row>
    <row r="33" spans="1:31" x14ac:dyDescent="0.25">
      <c r="A33" s="2"/>
      <c r="B33" s="8"/>
      <c r="C33" s="5"/>
      <c r="D33" s="5"/>
      <c r="E33" s="5"/>
      <c r="F33" s="5"/>
      <c r="G33" s="5"/>
      <c r="H33" s="5"/>
      <c r="I33" s="5"/>
      <c r="J33" s="188"/>
      <c r="K33" s="3"/>
      <c r="L33" s="40"/>
      <c r="M33" s="150"/>
      <c r="N33" s="44" t="str">
        <f t="shared" si="2"/>
        <v/>
      </c>
      <c r="O33" s="3"/>
      <c r="P33" s="6"/>
      <c r="Q33" s="7"/>
      <c r="T33" s="2"/>
      <c r="U33" s="41"/>
      <c r="W33" s="230"/>
      <c r="Z33" s="309"/>
      <c r="AA33" s="309"/>
      <c r="AB33" s="309"/>
      <c r="AC33" s="309"/>
    </row>
    <row r="34" spans="1:31" x14ac:dyDescent="0.25">
      <c r="A34" s="14"/>
      <c r="B34" s="8"/>
      <c r="C34" s="8"/>
      <c r="D34" s="80"/>
      <c r="E34" s="80"/>
      <c r="F34" s="80"/>
      <c r="H34" s="80"/>
      <c r="I34" s="93" t="s">
        <v>15</v>
      </c>
      <c r="K34" s="17">
        <f t="shared" ref="K34:Y34" si="17">SUM(K3:K32)</f>
        <v>0</v>
      </c>
      <c r="L34" s="98">
        <f t="shared" si="17"/>
        <v>0</v>
      </c>
      <c r="M34" s="89">
        <f t="shared" ref="M34:N34" si="18">SUM(M3:M33)</f>
        <v>0</v>
      </c>
      <c r="N34" s="76">
        <f t="shared" si="18"/>
        <v>0</v>
      </c>
      <c r="O34" s="17">
        <f t="shared" si="17"/>
        <v>0</v>
      </c>
      <c r="P34" s="15">
        <f t="shared" si="17"/>
        <v>0</v>
      </c>
      <c r="Q34" s="16">
        <f t="shared" si="17"/>
        <v>0</v>
      </c>
      <c r="R34" s="155">
        <f>SUM(R3:R32)</f>
        <v>0</v>
      </c>
      <c r="S34" s="155">
        <f>SUM(S3:S32)</f>
        <v>0</v>
      </c>
      <c r="T34" s="31"/>
      <c r="V34" s="31"/>
      <c r="W34" s="233"/>
      <c r="X34" s="32">
        <f t="shared" si="17"/>
        <v>0</v>
      </c>
      <c r="Y34" s="32">
        <f t="shared" si="17"/>
        <v>0</v>
      </c>
      <c r="Z34" s="309"/>
      <c r="AA34" s="309"/>
      <c r="AB34" s="309"/>
      <c r="AC34" s="309"/>
      <c r="AE34" s="4">
        <f>SUM(AE3:AE32)</f>
        <v>0</v>
      </c>
    </row>
    <row r="35" spans="1:3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190"/>
      <c r="K35" s="41"/>
      <c r="L35" s="99"/>
      <c r="M35" s="306" t="s">
        <v>112</v>
      </c>
      <c r="N35" s="307"/>
      <c r="O35" s="41"/>
      <c r="P35" s="88"/>
      <c r="Q35" s="43"/>
      <c r="R35" s="293">
        <f>R34+S34</f>
        <v>0</v>
      </c>
      <c r="S35" s="294"/>
      <c r="T35" s="79"/>
      <c r="U35" s="141"/>
      <c r="V35" s="41"/>
      <c r="W35" s="232"/>
      <c r="X35" s="41"/>
      <c r="Z35" s="309"/>
      <c r="AA35" s="309"/>
      <c r="AB35" s="309"/>
      <c r="AC35" s="309"/>
    </row>
    <row r="36" spans="1:31" x14ac:dyDescent="0.25">
      <c r="A36" s="41"/>
      <c r="B36" s="41"/>
      <c r="C36" s="41"/>
      <c r="D36" s="41"/>
      <c r="E36" s="80"/>
      <c r="F36" s="80"/>
      <c r="G36" s="41"/>
      <c r="H36" s="41"/>
      <c r="I36" s="41"/>
      <c r="K36" s="41"/>
      <c r="L36" s="79"/>
      <c r="M36" s="292" t="s">
        <v>111</v>
      </c>
      <c r="N36" s="292"/>
      <c r="O36" s="84"/>
      <c r="P36" s="84"/>
      <c r="Q36" s="80"/>
      <c r="R36" s="293"/>
      <c r="S36" s="294"/>
      <c r="T36" s="41"/>
      <c r="V36" s="41"/>
      <c r="W36" s="232"/>
      <c r="X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80"/>
      <c r="H37" s="41"/>
      <c r="I37" s="41"/>
      <c r="K37" s="80"/>
      <c r="L37" s="79"/>
      <c r="M37" s="292" t="s">
        <v>113</v>
      </c>
      <c r="N37" s="292"/>
      <c r="O37" s="41"/>
      <c r="P37" s="88"/>
      <c r="Q37" s="43"/>
      <c r="R37" s="293">
        <f>((R35*Basisgegevens!D44)-(R36*Basisgegevens!D47))/Basisgegevens!D44</f>
        <v>0</v>
      </c>
      <c r="S37" s="294"/>
      <c r="T37" s="79"/>
      <c r="V37" s="41"/>
      <c r="W37" s="232"/>
      <c r="X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41"/>
      <c r="H38" s="41"/>
      <c r="I38" s="41"/>
      <c r="K38" s="41"/>
      <c r="L38" s="79"/>
      <c r="M38" s="4"/>
      <c r="O38" s="41"/>
      <c r="P38" s="88"/>
      <c r="Q38" s="43"/>
      <c r="R38" s="46"/>
      <c r="S38" s="46"/>
      <c r="T38" s="41"/>
      <c r="V38" s="41"/>
      <c r="W38" s="41"/>
      <c r="X38" s="41"/>
    </row>
    <row r="39" spans="1:31" x14ac:dyDescent="0.25">
      <c r="A39" s="41"/>
      <c r="B39" s="41"/>
      <c r="C39" s="41"/>
      <c r="D39" s="41"/>
      <c r="E39" s="41"/>
      <c r="F39" s="41"/>
      <c r="G39" s="41"/>
      <c r="H39" s="41"/>
      <c r="I39" s="41"/>
      <c r="K39" s="41"/>
      <c r="L39" s="79"/>
      <c r="O39" s="41"/>
      <c r="P39" s="88"/>
      <c r="Q39" s="43"/>
      <c r="R39" s="46"/>
      <c r="S39" s="46"/>
      <c r="T39" s="41"/>
      <c r="V39" s="41"/>
      <c r="W39" s="41"/>
      <c r="X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79"/>
      <c r="O40" s="41"/>
      <c r="P40" s="41"/>
      <c r="Q40" s="41"/>
      <c r="R40" s="46"/>
      <c r="S40" s="46"/>
      <c r="T40" s="41"/>
      <c r="V40" s="41"/>
      <c r="W40" s="41"/>
      <c r="X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8"/>
      <c r="O41" s="41"/>
      <c r="P41" s="88"/>
      <c r="Q41" s="43"/>
      <c r="R41" s="46"/>
      <c r="S41" s="46"/>
      <c r="T41" s="41"/>
      <c r="V41" s="41"/>
      <c r="W41" s="41"/>
      <c r="X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6"/>
      <c r="S42" s="46"/>
      <c r="T42" s="41"/>
      <c r="V42" s="41"/>
      <c r="W42" s="41"/>
      <c r="X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M43" s="4"/>
      <c r="O43" s="41"/>
      <c r="P43" s="88"/>
      <c r="Q43" s="43"/>
      <c r="R43" s="46"/>
      <c r="S43" s="46"/>
      <c r="T43" s="41"/>
      <c r="V43" s="41"/>
      <c r="W43" s="41"/>
      <c r="X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6"/>
      <c r="S44" s="46"/>
      <c r="T44" s="41"/>
      <c r="V44" s="41"/>
      <c r="W44" s="41"/>
      <c r="X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O45" s="41"/>
      <c r="P45" s="88"/>
      <c r="Q45" s="43"/>
      <c r="R45" s="46"/>
      <c r="S45" s="46"/>
      <c r="T45" s="41"/>
      <c r="V45" s="41"/>
      <c r="W45" s="41"/>
      <c r="X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6"/>
      <c r="S46" s="46"/>
      <c r="T46" s="41"/>
      <c r="V46" s="41"/>
      <c r="W46" s="41"/>
      <c r="X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6"/>
      <c r="S47" s="46"/>
      <c r="T47" s="41"/>
      <c r="V47" s="41"/>
      <c r="W47" s="41"/>
      <c r="X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6"/>
      <c r="S48" s="46"/>
      <c r="T48" s="41"/>
      <c r="V48" s="41"/>
      <c r="W48" s="41"/>
      <c r="X48" s="41"/>
    </row>
    <row r="49" spans="1:24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6"/>
      <c r="S49" s="46"/>
      <c r="T49" s="41"/>
      <c r="V49" s="41"/>
      <c r="W49" s="41"/>
      <c r="X49" s="41"/>
    </row>
    <row r="50" spans="1:24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6"/>
      <c r="S50" s="46"/>
      <c r="T50" s="41"/>
      <c r="V50" s="41"/>
      <c r="W50" s="41"/>
      <c r="X50" s="41"/>
    </row>
    <row r="51" spans="1:24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6"/>
      <c r="S51" s="46"/>
      <c r="T51" s="41"/>
      <c r="V51" s="41"/>
      <c r="W51" s="41"/>
      <c r="X51" s="41"/>
    </row>
    <row r="52" spans="1:24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6"/>
      <c r="S52" s="46"/>
      <c r="T52" s="41"/>
      <c r="V52" s="41"/>
      <c r="W52" s="41"/>
      <c r="X52" s="41"/>
    </row>
    <row r="53" spans="1:24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6"/>
      <c r="S53" s="46"/>
      <c r="T53" s="41"/>
      <c r="V53" s="41"/>
      <c r="W53" s="41"/>
      <c r="X53" s="41"/>
    </row>
    <row r="54" spans="1:24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6"/>
      <c r="S54" s="46"/>
      <c r="T54" s="41"/>
      <c r="V54" s="41"/>
      <c r="W54" s="41"/>
      <c r="X54" s="41"/>
    </row>
    <row r="55" spans="1:24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6"/>
      <c r="S55" s="46"/>
      <c r="T55" s="41"/>
      <c r="V55" s="41"/>
      <c r="W55" s="41"/>
      <c r="X55" s="41"/>
    </row>
    <row r="56" spans="1:24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6"/>
      <c r="S56" s="46"/>
      <c r="T56" s="41"/>
      <c r="V56" s="41"/>
      <c r="W56" s="41"/>
      <c r="X56" s="41"/>
    </row>
    <row r="57" spans="1:24" x14ac:dyDescent="0.25">
      <c r="A57" s="41"/>
      <c r="B57" s="41"/>
      <c r="C57" s="41"/>
      <c r="D57" s="41"/>
      <c r="E57" s="41"/>
      <c r="F57" s="41"/>
      <c r="G57" s="41"/>
      <c r="H57" s="41"/>
      <c r="I57" s="41"/>
      <c r="K57" s="41"/>
      <c r="L57" s="80"/>
      <c r="O57" s="41"/>
      <c r="P57" s="88"/>
      <c r="Q57" s="43"/>
      <c r="T57" s="41"/>
      <c r="V57" s="41"/>
      <c r="W57" s="41"/>
      <c r="X57" s="41"/>
    </row>
    <row r="58" spans="1:24" x14ac:dyDescent="0.25">
      <c r="A58" s="41"/>
      <c r="B58" s="41"/>
      <c r="C58" s="41"/>
      <c r="D58" s="41"/>
      <c r="E58" s="41"/>
      <c r="F58" s="41"/>
      <c r="G58" s="41"/>
      <c r="H58" s="41"/>
      <c r="I58" s="41"/>
      <c r="K58" s="41"/>
      <c r="L58" s="80"/>
      <c r="O58" s="41"/>
      <c r="P58" s="88"/>
      <c r="Q58" s="43"/>
      <c r="T58" s="41"/>
      <c r="V58" s="41"/>
      <c r="W58" s="41"/>
      <c r="X58" s="41"/>
    </row>
    <row r="59" spans="1:24" x14ac:dyDescent="0.25">
      <c r="A59" s="41"/>
      <c r="B59" s="41"/>
      <c r="C59" s="41"/>
      <c r="D59" s="41"/>
      <c r="E59" s="41"/>
      <c r="F59" s="41"/>
      <c r="G59" s="41"/>
      <c r="H59" s="41"/>
      <c r="I59" s="41"/>
      <c r="K59" s="41"/>
      <c r="L59" s="80"/>
      <c r="O59" s="41"/>
      <c r="P59" s="88"/>
      <c r="Q59" s="43"/>
      <c r="T59" s="41"/>
      <c r="V59" s="41"/>
      <c r="W59" s="41"/>
      <c r="X59" s="41"/>
    </row>
    <row r="60" spans="1:24" x14ac:dyDescent="0.25">
      <c r="A60" s="41"/>
      <c r="B60" s="41"/>
      <c r="C60" s="41"/>
      <c r="D60" s="41"/>
      <c r="E60" s="41"/>
      <c r="F60" s="41"/>
      <c r="G60" s="41"/>
      <c r="H60" s="41"/>
      <c r="I60" s="41"/>
      <c r="K60" s="41"/>
      <c r="L60" s="80"/>
      <c r="O60" s="41"/>
      <c r="P60" s="88"/>
      <c r="Q60" s="43"/>
      <c r="T60" s="41"/>
      <c r="V60" s="41"/>
      <c r="W60" s="41"/>
      <c r="X60" s="41"/>
    </row>
    <row r="61" spans="1:24" x14ac:dyDescent="0.25">
      <c r="A61" s="41"/>
      <c r="B61" s="41"/>
      <c r="C61" s="41"/>
      <c r="D61" s="41"/>
      <c r="E61" s="41"/>
      <c r="F61" s="41"/>
      <c r="G61" s="41"/>
      <c r="H61" s="41"/>
      <c r="I61" s="41"/>
      <c r="K61" s="41"/>
      <c r="L61" s="80"/>
      <c r="O61" s="41"/>
      <c r="P61" s="88"/>
      <c r="Q61" s="43"/>
      <c r="T61" s="41"/>
      <c r="V61" s="41"/>
      <c r="W61" s="41"/>
      <c r="X61" s="41"/>
    </row>
    <row r="62" spans="1:24" x14ac:dyDescent="0.25">
      <c r="A62" s="41"/>
      <c r="B62" s="41"/>
      <c r="C62" s="41"/>
      <c r="D62" s="41"/>
      <c r="E62" s="41"/>
      <c r="F62" s="41"/>
      <c r="G62" s="41"/>
      <c r="H62" s="41"/>
      <c r="I62" s="41"/>
      <c r="K62" s="41"/>
      <c r="L62" s="80"/>
      <c r="O62" s="41"/>
      <c r="P62" s="88"/>
      <c r="Q62" s="43"/>
      <c r="T62" s="41"/>
      <c r="V62" s="41"/>
      <c r="W62" s="41"/>
      <c r="X62" s="41"/>
    </row>
    <row r="63" spans="1:24" x14ac:dyDescent="0.25">
      <c r="A63" s="41"/>
      <c r="B63" s="41"/>
      <c r="C63" s="41"/>
      <c r="D63" s="41"/>
      <c r="E63" s="41"/>
      <c r="F63" s="41"/>
      <c r="G63" s="41"/>
      <c r="H63" s="41"/>
      <c r="I63" s="41"/>
      <c r="K63" s="41"/>
      <c r="L63" s="80"/>
      <c r="O63" s="41"/>
      <c r="P63" s="88"/>
      <c r="Q63" s="43"/>
      <c r="T63" s="41"/>
      <c r="V63" s="41"/>
      <c r="W63" s="41"/>
      <c r="X63" s="41"/>
    </row>
    <row r="64" spans="1:24" x14ac:dyDescent="0.25">
      <c r="A64" s="41"/>
      <c r="B64" s="41"/>
      <c r="C64" s="41"/>
      <c r="D64" s="41"/>
      <c r="E64" s="41"/>
      <c r="F64" s="41"/>
      <c r="G64" s="41"/>
      <c r="H64" s="41"/>
      <c r="I64" s="41"/>
      <c r="K64" s="41"/>
      <c r="L64" s="80"/>
      <c r="O64" s="41"/>
      <c r="P64" s="88"/>
      <c r="Q64" s="43"/>
      <c r="T64" s="41"/>
      <c r="V64" s="41"/>
      <c r="W64" s="41"/>
      <c r="X64" s="41"/>
    </row>
  </sheetData>
  <mergeCells count="17">
    <mergeCell ref="W1:W2"/>
    <mergeCell ref="Z18:AC37"/>
    <mergeCell ref="U1:U2"/>
    <mergeCell ref="M36:N36"/>
    <mergeCell ref="M37:N37"/>
    <mergeCell ref="R36:S36"/>
    <mergeCell ref="R37:S37"/>
    <mergeCell ref="A1:B2"/>
    <mergeCell ref="C1:G1"/>
    <mergeCell ref="T1:T2"/>
    <mergeCell ref="V1:V2"/>
    <mergeCell ref="M35:N35"/>
    <mergeCell ref="K1:L1"/>
    <mergeCell ref="H1:I1"/>
    <mergeCell ref="R35:S35"/>
    <mergeCell ref="J1:J2"/>
    <mergeCell ref="M1:N1"/>
  </mergeCells>
  <phoneticPr fontId="0" type="noConversion"/>
  <conditionalFormatting sqref="A3:W32">
    <cfRule type="expression" dxfId="9" priority="1" stopIfTrue="1">
      <formula>WEEKDAY($B3)=7</formula>
    </cfRule>
    <cfRule type="expression" dxfId="8" priority="2" stopIfTrue="1">
      <formula>WEEKDAY($B3)=1</formula>
    </cfRule>
  </conditionalFormatting>
  <dataValidations count="1">
    <dataValidation type="list" allowBlank="1" sqref="H3:H32" xr:uid="{00000000-0002-0000-0A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1">
    <pageSetUpPr fitToPage="1"/>
  </sheetPr>
  <dimension ref="A1:AE75"/>
  <sheetViews>
    <sheetView zoomScaleNormal="100" workbookViewId="0">
      <pane ySplit="2" topLeftCell="A3" activePane="bottomLeft" state="frozen"/>
      <selection activeCell="F48" sqref="F48"/>
      <selection pane="bottomLeft" activeCell="I34" sqref="I34"/>
    </sheetView>
  </sheetViews>
  <sheetFormatPr defaultColWidth="9" defaultRowHeight="15.75" x14ac:dyDescent="0.25"/>
  <cols>
    <col min="1" max="1" width="9.625" style="4" customWidth="1"/>
    <col min="2" max="2" width="8.875" style="4" customWidth="1"/>
    <col min="3" max="5" width="6.75" style="4" customWidth="1"/>
    <col min="6" max="6" width="8.875" style="4" customWidth="1"/>
    <col min="7" max="7" width="6.75" style="4" customWidth="1"/>
    <col min="8" max="9" width="6.625" style="4" customWidth="1"/>
    <col min="10" max="10" width="6.625" style="189" hidden="1" customWidth="1"/>
    <col min="11" max="11" width="6.625" style="4" customWidth="1"/>
    <col min="12" max="13" width="6.625" style="5" customWidth="1"/>
    <col min="14" max="14" width="6.625" style="4" customWidth="1"/>
    <col min="15" max="15" width="6.625" style="4" hidden="1" customWidth="1"/>
    <col min="16" max="16" width="8" style="11" hidden="1" customWidth="1"/>
    <col min="17" max="17" width="14.375" style="12" hidden="1" customWidth="1"/>
    <col min="18" max="19" width="6.25" style="4" customWidth="1"/>
    <col min="20" max="20" width="17.375" style="2" customWidth="1"/>
    <col min="21" max="21" width="22.625" style="4" customWidth="1"/>
    <col min="22" max="22" width="3.75" style="4" customWidth="1"/>
    <col min="23" max="23" width="5.5" style="4" customWidth="1"/>
    <col min="24" max="25" width="10.625" style="4" hidden="1" customWidth="1"/>
    <col min="26" max="26" width="8.125" style="4" customWidth="1"/>
    <col min="27" max="27" width="9.125" style="4" customWidth="1"/>
    <col min="28" max="28" width="9.875" style="4" customWidth="1"/>
    <col min="29" max="29" width="9.125" style="4" customWidth="1"/>
    <col min="30" max="30" width="0" style="4" hidden="1" customWidth="1"/>
    <col min="31" max="31" width="14.75" style="4" hidden="1" customWidth="1"/>
    <col min="32" max="16384" width="9" style="4"/>
  </cols>
  <sheetData>
    <row r="1" spans="1:31" ht="15.75" customHeight="1" x14ac:dyDescent="0.25">
      <c r="A1" s="302" t="str">
        <f>IF(Basisgegevens!D1="","NAAM",Basisgegevens!D1)</f>
        <v>NAAM</v>
      </c>
      <c r="B1" s="303"/>
      <c r="C1" s="299" t="s">
        <v>0</v>
      </c>
      <c r="D1" s="300"/>
      <c r="E1" s="300"/>
      <c r="F1" s="300"/>
      <c r="G1" s="301"/>
      <c r="H1" s="296" t="s">
        <v>1</v>
      </c>
      <c r="I1" s="296"/>
      <c r="J1" s="297" t="s">
        <v>108</v>
      </c>
      <c r="K1" s="295" t="s">
        <v>0</v>
      </c>
      <c r="L1" s="295"/>
      <c r="M1" s="295" t="s">
        <v>107</v>
      </c>
      <c r="N1" s="295"/>
      <c r="O1" s="148">
        <v>1</v>
      </c>
      <c r="P1" s="54" t="s">
        <v>2</v>
      </c>
      <c r="Q1" s="58" t="s">
        <v>3</v>
      </c>
      <c r="R1" s="213" t="s">
        <v>109</v>
      </c>
      <c r="S1" s="213" t="s">
        <v>109</v>
      </c>
      <c r="T1" s="310" t="s">
        <v>4</v>
      </c>
      <c r="U1" s="310" t="s">
        <v>110</v>
      </c>
      <c r="V1" s="310" t="s">
        <v>114</v>
      </c>
      <c r="W1" s="310" t="s">
        <v>115</v>
      </c>
      <c r="X1" s="18" t="s">
        <v>5</v>
      </c>
      <c r="Y1" s="4" t="s">
        <v>6</v>
      </c>
      <c r="Z1" s="215"/>
      <c r="AA1" s="215"/>
      <c r="AB1" s="215"/>
      <c r="AC1" s="215"/>
      <c r="AE1" s="18" t="s">
        <v>129</v>
      </c>
    </row>
    <row r="2" spans="1:31" ht="16.5" thickBot="1" x14ac:dyDescent="0.3">
      <c r="A2" s="304"/>
      <c r="B2" s="305"/>
      <c r="C2" s="217" t="s">
        <v>92</v>
      </c>
      <c r="D2" s="218" t="s">
        <v>7</v>
      </c>
      <c r="E2" s="218" t="s">
        <v>8</v>
      </c>
      <c r="F2" s="218" t="s">
        <v>93</v>
      </c>
      <c r="G2" s="219" t="s">
        <v>9</v>
      </c>
      <c r="H2" s="222" t="s">
        <v>10</v>
      </c>
      <c r="I2" s="219" t="s">
        <v>11</v>
      </c>
      <c r="J2" s="298"/>
      <c r="K2" s="223" t="s">
        <v>12</v>
      </c>
      <c r="L2" s="219" t="s">
        <v>13</v>
      </c>
      <c r="M2" s="223" t="s">
        <v>12</v>
      </c>
      <c r="N2" s="219" t="s">
        <v>13</v>
      </c>
      <c r="O2" s="149"/>
      <c r="P2" s="69"/>
      <c r="Q2" s="70"/>
      <c r="R2" s="214" t="s">
        <v>94</v>
      </c>
      <c r="S2" s="214" t="s">
        <v>95</v>
      </c>
      <c r="T2" s="311"/>
      <c r="U2" s="311"/>
      <c r="V2" s="311"/>
      <c r="W2" s="311"/>
      <c r="Z2" s="215"/>
      <c r="AA2" s="215"/>
      <c r="AB2" s="215"/>
      <c r="AC2" s="215"/>
      <c r="AE2" s="18" t="s">
        <v>130</v>
      </c>
    </row>
    <row r="3" spans="1:31" ht="16.5" thickBot="1" x14ac:dyDescent="0.3">
      <c r="A3" s="100" t="str">
        <f t="shared" ref="A3:A32" si="0">IF(WEEKDAY(B3)=1,"Zondag",IF(WEEKDAY(B3)=2,"Maandag",IF(WEEKDAY(B3)=3,"Dinsdag",IF(WEEKDAY(B3)=4,"Woensdag",IF(WEEKDAY(B3)=5,"Donderdag",IF(WEEKDAY(B3)=6,"Vrijdag","Zaterdag"))))))</f>
        <v>Dinsdag</v>
      </c>
      <c r="B3" s="226">
        <f>Nov!B32+1</f>
        <v>46357</v>
      </c>
      <c r="C3" s="149"/>
      <c r="D3" s="149"/>
      <c r="E3" s="149"/>
      <c r="F3" s="149"/>
      <c r="G3" s="149"/>
      <c r="H3" s="79"/>
      <c r="I3" s="149"/>
      <c r="J3" s="188" t="str">
        <f>IF(I3="","",IF(HOUR(I3)&lt;5,0.5,1))</f>
        <v/>
      </c>
      <c r="K3" s="150">
        <f>IF(Basisgegevens!$F$1="JA",IF(D3="",0,(1-D3)+(E3)-G3),(E3-D3)-G3)</f>
        <v>0</v>
      </c>
      <c r="L3" s="44" t="str">
        <f t="shared" ref="L3" si="1">IF(D3="","",ROUNDDOWN((HOUR(K3))+MINUTE(K3)/60,2))</f>
        <v/>
      </c>
      <c r="M3" s="150">
        <f>IF(C3="",0,(D3-C3)+(F3-E3))</f>
        <v>0</v>
      </c>
      <c r="N3" s="44" t="str">
        <f t="shared" ref="N3:N33" si="2">IF(C3="","",ROUNDDOWN((HOUR(M3))+MINUTE(M3)/60,2))</f>
        <v/>
      </c>
      <c r="O3" s="150">
        <f>IF(OR(WEEKDAY(B3)=1,WEEKDAY(B3)=7,B3=Basisgegevens!B$4,B3=Basisgegevens!B$5,B3=Basisgegevens!B$6,B3=Basisgegevens!B$7,B3=Basisgegevens!B$8,B3=Basisgegevens!B$9,B3=Basisgegevens!B$10,B3=Basisgegevens!B$11,B3=Basisgegevens!B$12,B3=Basisgegevens!B$13,B3=Basisgegevens!B$14,B3=Basisgegevens!B$15),0,IF(K3&lt;=(TIME(8,0,0)),K3,(TIME(8,0,0))))</f>
        <v>0</v>
      </c>
      <c r="P3" s="71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0,IF(WEEKDAY(B3)=7,K3,K3-O3))</f>
        <v>0</v>
      </c>
      <c r="Q3" s="72">
        <f>IF(OR(WEEKDAY(B3)=1,B3=Basisgegevens!B$4,B3=Basisgegevens!B$5,B3=Basisgegevens!B$6,B3=Basisgegevens!B$7,B3=Basisgegevens!B$8,B3=Basisgegevens!B$9,B3=Basisgegevens!B$10,B3=Basisgegevens!B$11,B3=Basisgegevens!B$12,B3=Basisgegevens!B$13,B3=Basisgegevens!B$14,B3=Basisgegevens!B$15),K3,0)</f>
        <v>0</v>
      </c>
      <c r="R3" s="140"/>
      <c r="S3" s="140"/>
      <c r="T3" s="41"/>
      <c r="U3" s="41"/>
      <c r="V3" s="136" t="str">
        <f>IF(OR(B3=Basisgegevens!$B$4,B3=Basisgegevens!$B$5,B3=Basisgegevens!$B$6,B3=Basisgegevens!$B$7,B3=Basisgegevens!$B$8,B3=Basisgegevens!$B$9,B3=Basisgegevens!$B$10,B3=Basisgegevens!$B$11,B3=Basisgegevens!$B$12,B3=Basisgegevens!$B$13,B3=Basisgegevens!$B$14,B3=Basisgegevens!$B$15),"FD","")</f>
        <v/>
      </c>
      <c r="W3" s="220">
        <f>IF(WEEKDAY(B3)=1,(WEEKNUM(DATE(YEAR(B3),MONTH(B3),DAY(B3)),)-1),WEEKNUM(DATE(YEAR(B3),MONTH(B3),DAY(B3)),))</f>
        <v>49</v>
      </c>
      <c r="X3" s="31" t="str">
        <f>IF($D3="","",IF($B3&lt;Basisgegevens!$H$4,((((DAY($O3))*24)+(HOUR($O3))+((MINUTE($O3))/60))*Basisgegevens!$I$3)+((((DAY($P3))*24)+(HOUR($P3))+((MINUTE($P3))/60))*Basisgegevens!$I$3*1.5)+((((DAY($Q3))*24)+(HOUR($Q3))+((MINUTE($Q3))/60))*Basisgegevens!$I$3*2)+Basisgegevens!$J$3,IF(Jan!$B3&lt;Basisgegevens!$H$5,((((DAY($O3))*24)+(HOUR($O3))+((MINUTE($O3))/60))*Basisgegevens!$I$4)+((((DAY($P3))*24)+(HOUR($P3))+((MINUTE($P3))/60))*Basisgegevens!$I$4*1.5)+((((DAY($Q3))*24)+(HOUR($Q3))+((MINUTE($Q3))/60))*Basisgegevens!$I$4*2)+Basisgegevens!$J$4,((((DAY($O3))*24)+(HOUR($O3))+((MINUTE($O3))/60))*Basisgegevens!$I$5)+((((DAY($P3))*24)+(HOUR($P3))+((MINUTE($P3))/60))*Basisgegevens!$I$5*1.5)+((((DAY($Q3))*24)+(HOUR($Q3))+((MINUTE($Q3))/60))*Basisgegevens!$I$5*2)+Basisgegevens!$J$5)))</f>
        <v/>
      </c>
      <c r="Y3" s="31" t="str">
        <f>IF($D3="","",IF($B3&lt;Basisgegevens!$H$4,((((DAY($O3))*24)+(HOUR($O3))+((MINUTE($O3))/60))*Basisgegevens!$K$3)+((((DAY($P3))*24)+(HOUR($P3))+((MINUTE($P3))/60))*Basisgegevens!$K$3*1.5)+((((DAY($Q3))*24)+(HOUR($Q3))+((MINUTE($Q3))/60))*Basisgegevens!$K$3*2)+Basisgegevens!$L$3,IF(Jan!$B3&lt;Basisgegevens!$H$5,((((DAY($O3))*24)+(HOUR($O3))+((MINUTE($O3))/60))*Basisgegevens!$K$4)+((((DAY($P3))*24)+(HOUR($P3))+((MINUTE($P3))/60))*Basisgegevens!$K$4*1.5)+((((DAY($Q3))*24)+(HOUR($Q3))+((MINUTE($Q3))/60))*Basisgegevens!$K$4*2)+Basisgegevens!$L$4,((((DAY($O3))*24)+(HOUR($O3))+((MINUTE($O3))/60))*Basisgegevens!$K$5)+((((DAY($P3))*24)+(HOUR($P3))+((MINUTE($P3))/60))*Basisgegevens!$K$5*1.5)+((((DAY($Q3))*24)+(HOUR($Q3))+((MINUTE($Q3))/60))*Basisgegevens!$K$5*2)+Basisgegevens!$L$5)))</f>
        <v/>
      </c>
      <c r="Z3" s="59" t="s">
        <v>14</v>
      </c>
      <c r="AA3" s="129" t="s">
        <v>0</v>
      </c>
      <c r="AB3" s="129" t="s">
        <v>96</v>
      </c>
      <c r="AC3" s="60" t="s">
        <v>107</v>
      </c>
      <c r="AD3" s="236" t="s">
        <v>116</v>
      </c>
      <c r="AE3" s="4">
        <f>IF(L3="",0,IF(L3&gt;=5,1,0))</f>
        <v>0</v>
      </c>
    </row>
    <row r="4" spans="1:31" x14ac:dyDescent="0.25">
      <c r="A4" s="100" t="str">
        <f t="shared" si="0"/>
        <v>Woensdag</v>
      </c>
      <c r="B4" s="226">
        <f>B3+1</f>
        <v>46358</v>
      </c>
      <c r="C4" s="149"/>
      <c r="D4" s="149"/>
      <c r="E4" s="149"/>
      <c r="F4" s="149"/>
      <c r="G4" s="149"/>
      <c r="H4" s="79"/>
      <c r="I4" s="149"/>
      <c r="J4" s="188" t="str">
        <f t="shared" ref="J4:J33" si="3">IF(I4="","",IF(HOUR(I4)&lt;5,0.5,1))</f>
        <v/>
      </c>
      <c r="K4" s="150">
        <f>IF(Basisgegevens!$F$1="JA",IF(D4="",0,(1-D4)+(E4)-G4),(E4-D4)-G4)</f>
        <v>0</v>
      </c>
      <c r="L4" s="44" t="str">
        <f t="shared" ref="L4:L33" si="4">IF(D4="","",ROUNDDOWN((HOUR(K4))+MINUTE(K4)/60,2))</f>
        <v/>
      </c>
      <c r="M4" s="150">
        <f>IF(C4="",0,(D4-C4)+(F4-E4))</f>
        <v>0</v>
      </c>
      <c r="N4" s="44" t="str">
        <f t="shared" si="2"/>
        <v/>
      </c>
      <c r="O4" s="150">
        <f>IF(OR(WEEKDAY(B4)=1,WEEKDAY(B4)=7,B4=Basisgegevens!B$4,B4=Basisgegevens!B$5,B4=Basisgegevens!B$6,B4=Basisgegevens!B$7,B4=Basisgegevens!B$8,B4=Basisgegevens!B$9,B4=Basisgegevens!B$10,B4=Basisgegevens!B$11,B4=Basisgegevens!B$12,B4=Basisgegevens!B$13,B4=Basisgegevens!B$14,B4=Basisgegevens!B$15),0,IF(K4&lt;=(TIME(8,0,0)),K4,(TIME(8,0,0))))</f>
        <v>0</v>
      </c>
      <c r="P4" s="71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0,IF(WEEKDAY(B4)=7,K4,K4-O4))</f>
        <v>0</v>
      </c>
      <c r="Q4" s="72">
        <f>IF(OR(WEEKDAY(B4)=1,B4=Basisgegevens!B$4,B4=Basisgegevens!B$5,B4=Basisgegevens!B$6,B4=Basisgegevens!B$7,B4=Basisgegevens!B$8,B4=Basisgegevens!B$9,B4=Basisgegevens!B$10,B4=Basisgegevens!B$11,B4=Basisgegevens!B$12,B4=Basisgegevens!B$13,B4=Basisgegevens!B$14,B4=Basisgegevens!B$15),K4,0)</f>
        <v>0</v>
      </c>
      <c r="R4" s="140"/>
      <c r="S4" s="140"/>
      <c r="T4" s="41"/>
      <c r="U4" s="100"/>
      <c r="V4" s="136" t="str">
        <f>IF(OR(B4=Basisgegevens!$B$4,B4=Basisgegevens!$B$5,B4=Basisgegevens!$B$6,B4=Basisgegevens!$B$7,B4=Basisgegevens!$B$8,B4=Basisgegevens!$B$9,B4=Basisgegevens!$B$10,B4=Basisgegevens!$B$11,B4=Basisgegevens!$B$12,B4=Basisgegevens!$B$13,B4=Basisgegevens!$B$14,B4=Basisgegevens!$B$15),"FD","")</f>
        <v/>
      </c>
      <c r="W4" s="220">
        <f t="shared" ref="W4:W33" si="5">IF(WEEKDAY(B4)=1,(WEEKNUM(DATE(YEAR(B4),MONTH(B4),DAY(B4)),)-1),WEEKNUM(DATE(YEAR(B4),MONTH(B4),DAY(B4)),))</f>
        <v>49</v>
      </c>
      <c r="X4" s="31" t="str">
        <f>IF($D4="","",IF($B4&lt;Basisgegevens!$H$4,((((DAY($O4))*24)+(HOUR($O4))+((MINUTE($O4))/60))*Basisgegevens!$I$3)+((((DAY($P4))*24)+(HOUR($P4))+((MINUTE($P4))/60))*Basisgegevens!$I$3*1.5)+((((DAY($Q4))*24)+(HOUR($Q4))+((MINUTE($Q4))/60))*Basisgegevens!$I$3*2)+Basisgegevens!$J$3,IF(Jan!$B4&lt;Basisgegevens!$H$5,((((DAY($O4))*24)+(HOUR($O4))+((MINUTE($O4))/60))*Basisgegevens!$I$4)+((((DAY($P4))*24)+(HOUR($P4))+((MINUTE($P4))/60))*Basisgegevens!$I$4*1.5)+((((DAY($Q4))*24)+(HOUR($Q4))+((MINUTE($Q4))/60))*Basisgegevens!$I$4*2)+Basisgegevens!$J$4,((((DAY($O4))*24)+(HOUR($O4))+((MINUTE($O4))/60))*Basisgegevens!$I$5)+((((DAY($P4))*24)+(HOUR($P4))+((MINUTE($P4))/60))*Basisgegevens!$I$5*1.5)+((((DAY($Q4))*24)+(HOUR($Q4))+((MINUTE($Q4))/60))*Basisgegevens!$I$5*2)+Basisgegevens!$J$5)))</f>
        <v/>
      </c>
      <c r="Y4" s="31" t="str">
        <f>IF($D4="","",IF($B4&lt;Basisgegevens!$H$4,((((DAY($O4))*24)+(HOUR($O4))+((MINUTE($O4))/60))*Basisgegevens!$K$3)+((((DAY($P4))*24)+(HOUR($P4))+((MINUTE($P4))/60))*Basisgegevens!$K$3*1.5)+((((DAY($Q4))*24)+(HOUR($Q4))+((MINUTE($Q4))/60))*Basisgegevens!$K$3*2)+Basisgegevens!$L$3,IF(Jan!$B4&lt;Basisgegevens!$H$5,((((DAY($O4))*24)+(HOUR($O4))+((MINUTE($O4))/60))*Basisgegevens!$K$4)+((((DAY($P4))*24)+(HOUR($P4))+((MINUTE($P4))/60))*Basisgegevens!$K$4*1.5)+((((DAY($Q4))*24)+(HOUR($Q4))+((MINUTE($Q4))/60))*Basisgegevens!$K$4*2)+Basisgegevens!$L$4,((((DAY($O4))*24)+(HOUR($O4))+((MINUTE($O4))/60))*Basisgegevens!$K$5)+((((DAY($P4))*24)+(HOUR($P4))+((MINUTE($P4))/60))*Basisgegevens!$K$5*1.5)+((((DAY($Q4))*24)+(HOUR($Q4))+((MINUTE($Q4))/60))*Basisgegevens!$K$5*2)+Basisgegevens!$L$5)))</f>
        <v/>
      </c>
      <c r="Z4" s="61">
        <f>LOOKUP(SMALL(W3:W33,1),W3:W33,W3:W33)</f>
        <v>49</v>
      </c>
      <c r="AA4" s="210">
        <f>IF($Z4="","",SUMIFS($K$3:$K$33,$W$3:$W$33,$Z4,$A$3:$A$33,"&lt;&gt;Zaterdag",$A$3:$A$33,"&lt;&gt;Zondag"))</f>
        <v>0</v>
      </c>
      <c r="AB4" s="228">
        <f>IF(Z4="","",SUMIFS(K$3:K$33,W$3:W$33,Z4,A$3:A$33,"&lt;&gt;Zaterdag",A$3:A$33,"&lt;&gt;Zondag")+SUMIFS(I$3:I$33,W$3:W$33,Z4,A$3:A$33,"&lt;&gt;Zaterdag",A$3:A$33,"&lt;&gt;Zondag"))</f>
        <v>0</v>
      </c>
      <c r="AC4" s="229">
        <f>IF($Z4="","",SUMIFS($M$3:$M$33,$W$3:$W$33,$Z4,$A$3:$A$33,"&lt;&gt;Zaterdag",$A$3:$A$33,"&lt;&gt;Zondag"))</f>
        <v>0</v>
      </c>
      <c r="AD4" s="237">
        <f>IF($Z4="","",SUMIFS($K$3:$K$33,$W$3:$W$33,$Z4,$A$3:$A$33,"&lt;&gt;Zaterdag",$A$3:$A$33,"&lt;&gt;Zondag")+SUMIFS($I$3:$I$33,$W$3:$W$33,$Z4,$A$3:$A$33,"&lt;&gt;Zaterdag",$A$3:$A$33,"&lt;&gt;Zondag",$H$3:$H$33,"=ADV")+SUMIFS($I$3:$I$33,$W$3:$W$33,$Z4,$A$3:$A$33,"&lt;&gt;Zaterdag",$A$3:$A$33,"&lt;&gt;Zondag",$H$3:$H$33,"=BF")+SUMIFS($I$3:$I$33,$W$3:$W$33,$Z4,$A$3:$A$33,"&lt;&gt;Zaterdag",$A$3:$A$33,"&lt;&gt;Zondag",$H$3:$H$33,"=BIR")+SUMIFS($I$3:$I$33,$W$3:$W$33,$Z4,$A$3:$A$33,"&lt;&gt;Zaterdag",$A$3:$A$33,"&lt;&gt;Zondag",$H$3:$H$33,"=OPL"))</f>
        <v>0</v>
      </c>
      <c r="AE4" s="4">
        <f t="shared" ref="AE4:AE33" si="6">IF(L4="",0,IF(L4&gt;=5,1,0))</f>
        <v>0</v>
      </c>
    </row>
    <row r="5" spans="1:31" x14ac:dyDescent="0.25">
      <c r="A5" s="100" t="str">
        <f t="shared" si="0"/>
        <v>Donderdag</v>
      </c>
      <c r="B5" s="226">
        <f t="shared" ref="B5:B33" si="7">B4+1</f>
        <v>46359</v>
      </c>
      <c r="C5" s="149"/>
      <c r="D5" s="149"/>
      <c r="E5" s="149"/>
      <c r="F5" s="149"/>
      <c r="G5" s="149"/>
      <c r="H5" s="79"/>
      <c r="I5" s="149"/>
      <c r="J5" s="188" t="str">
        <f t="shared" si="3"/>
        <v/>
      </c>
      <c r="K5" s="150">
        <f>IF(Basisgegevens!$F$1="JA",IF(D5="",0,(1-D5)+(E5)-G5),(E5-D5)-G5)</f>
        <v>0</v>
      </c>
      <c r="L5" s="44" t="str">
        <f t="shared" si="4"/>
        <v/>
      </c>
      <c r="M5" s="150">
        <f t="shared" ref="M5:M33" si="8">IF(C5="",0,(D5-C5)+(F5-E5))</f>
        <v>0</v>
      </c>
      <c r="N5" s="44" t="str">
        <f t="shared" si="2"/>
        <v/>
      </c>
      <c r="O5" s="150">
        <f>IF(OR(WEEKDAY(B5)=1,WEEKDAY(B5)=7,B5=Basisgegevens!B$4,B5=Basisgegevens!B$5,B5=Basisgegevens!B$6,B5=Basisgegevens!B$7,B5=Basisgegevens!B$8,B5=Basisgegevens!B$9,B5=Basisgegevens!B$10,B5=Basisgegevens!B$11,B5=Basisgegevens!B$12,B5=Basisgegevens!B$13,B5=Basisgegevens!B$14,B5=Basisgegevens!B$15),0,IF(K5&lt;=(TIME(8,0,0)),K5,(TIME(8,0,0))))</f>
        <v>0</v>
      </c>
      <c r="P5" s="71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0,IF(WEEKDAY(B5)=7,K5,K5-O5))</f>
        <v>0</v>
      </c>
      <c r="Q5" s="72">
        <f>IF(OR(WEEKDAY(B5)=1,B5=Basisgegevens!B$4,B5=Basisgegevens!B$5,B5=Basisgegevens!B$6,B5=Basisgegevens!B$7,B5=Basisgegevens!B$8,B5=Basisgegevens!B$9,B5=Basisgegevens!B$10,B5=Basisgegevens!B$11,B5=Basisgegevens!B$12,B5=Basisgegevens!B$13,B5=Basisgegevens!B$14,B5=Basisgegevens!B$15),K5,0)</f>
        <v>0</v>
      </c>
      <c r="R5" s="227"/>
      <c r="S5" s="227"/>
      <c r="T5" s="41"/>
      <c r="U5" s="100"/>
      <c r="V5" s="136" t="str">
        <f>IF(OR(B5=Basisgegevens!$B$4,B5=Basisgegevens!$B$5,B5=Basisgegevens!$B$6,B5=Basisgegevens!$B$7,B5=Basisgegevens!$B$8,B5=Basisgegevens!$B$9,B5=Basisgegevens!$B$10,B5=Basisgegevens!$B$11,B5=Basisgegevens!$B$12,B5=Basisgegevens!$B$13,B5=Basisgegevens!$B$14,B5=Basisgegevens!$B$15),"FD","")</f>
        <v/>
      </c>
      <c r="W5" s="220">
        <f t="shared" si="5"/>
        <v>49</v>
      </c>
      <c r="X5" s="31" t="str">
        <f>IF($D5="","",IF($B5&lt;Basisgegevens!$H$4,((((DAY($O5))*24)+(HOUR($O5))+((MINUTE($O5))/60))*Basisgegevens!$I$3)+((((DAY($P5))*24)+(HOUR($P5))+((MINUTE($P5))/60))*Basisgegevens!$I$3*1.5)+((((DAY($Q5))*24)+(HOUR($Q5))+((MINUTE($Q5))/60))*Basisgegevens!$I$3*2)+Basisgegevens!$J$3,IF(Jan!$B5&lt;Basisgegevens!$H$5,((((DAY($O5))*24)+(HOUR($O5))+((MINUTE($O5))/60))*Basisgegevens!$I$4)+((((DAY($P5))*24)+(HOUR($P5))+((MINUTE($P5))/60))*Basisgegevens!$I$4*1.5)+((((DAY($Q5))*24)+(HOUR($Q5))+((MINUTE($Q5))/60))*Basisgegevens!$I$4*2)+Basisgegevens!$J$4,((((DAY($O5))*24)+(HOUR($O5))+((MINUTE($O5))/60))*Basisgegevens!$I$5)+((((DAY($P5))*24)+(HOUR($P5))+((MINUTE($P5))/60))*Basisgegevens!$I$5*1.5)+((((DAY($Q5))*24)+(HOUR($Q5))+((MINUTE($Q5))/60))*Basisgegevens!$I$5*2)+Basisgegevens!$J$5)))</f>
        <v/>
      </c>
      <c r="Y5" s="31" t="str">
        <f>IF($D5="","",IF($B5&lt;Basisgegevens!$H$4,((((DAY($O5))*24)+(HOUR($O5))+((MINUTE($O5))/60))*Basisgegevens!$K$3)+((((DAY($P5))*24)+(HOUR($P5))+((MINUTE($P5))/60))*Basisgegevens!$K$3*1.5)+((((DAY($Q5))*24)+(HOUR($Q5))+((MINUTE($Q5))/60))*Basisgegevens!$K$3*2)+Basisgegevens!$L$3,IF(Jan!$B5&lt;Basisgegevens!$H$5,((((DAY($O5))*24)+(HOUR($O5))+((MINUTE($O5))/60))*Basisgegevens!$K$4)+((((DAY($P5))*24)+(HOUR($P5))+((MINUTE($P5))/60))*Basisgegevens!$K$4*1.5)+((((DAY($Q5))*24)+(HOUR($Q5))+((MINUTE($Q5))/60))*Basisgegevens!$K$4*2)+Basisgegevens!$L$4,((((DAY($O5))*24)+(HOUR($O5))+((MINUTE($O5))/60))*Basisgegevens!$K$5)+((((DAY($P5))*24)+(HOUR($P5))+((MINUTE($P5))/60))*Basisgegevens!$K$5*1.5)+((((DAY($Q5))*24)+(HOUR($Q5))+((MINUTE($Q5))/60))*Basisgegevens!$K$5*2)+Basisgegevens!$L$5)))</f>
        <v/>
      </c>
      <c r="Z5" s="62">
        <f>IF(W$33=Z4,"",Z4+1)</f>
        <v>50</v>
      </c>
      <c r="AA5" s="211">
        <f t="shared" ref="AA5:AA9" si="9">IF($Z5="","",SUMIFS($K$3:$K$33,$W$3:$W$33,$Z5,$A$3:$A$33,"&lt;&gt;Zaterdag",$A$3:$A$33,"&lt;&gt;Zondag"))</f>
        <v>0</v>
      </c>
      <c r="AB5" s="211">
        <f t="shared" ref="AB5:AB9" si="10">IF(Z5="","",SUMIFS(K$3:K$33,W$3:W$33,Z5,A$3:A$33,"&lt;&gt;Zaterdag",A$3:A$33,"&lt;&gt;Zondag")+SUMIFS(I$3:I$33,W$3:W$33,Z5,A$3:A$33,"&lt;&gt;Zaterdag",A$3:A$33,"&lt;&gt;Zondag"))</f>
        <v>0</v>
      </c>
      <c r="AC5" s="168">
        <f>IF($Z5="","",SUMIFS($M$3:$M$33,$W$3:$W$33,$Z5,$A$3:$A$33,"&lt;&gt;Zaterdag",$A$3:$A$33,"&lt;&gt;Zondag"))</f>
        <v>0</v>
      </c>
      <c r="AD5" s="238">
        <f t="shared" ref="AD5:AD9" si="11">IF($Z5="","",SUMIFS($K$3:$K$33,$W$3:$W$33,$Z5,$A$3:$A$33,"&lt;&gt;Zaterdag",$A$3:$A$33,"&lt;&gt;Zondag")+SUMIFS($I$3:$I$33,$W$3:$W$33,$Z5,$A$3:$A$33,"&lt;&gt;Zaterdag",$A$3:$A$33,"&lt;&gt;Zondag",$H$3:$H$33,"=ADV")+SUMIFS($I$3:$I$33,$W$3:$W$33,$Z5,$A$3:$A$33,"&lt;&gt;Zaterdag",$A$3:$A$33,"&lt;&gt;Zondag",$H$3:$H$33,"=BF")+SUMIFS($I$3:$I$33,$W$3:$W$33,$Z5,$A$3:$A$33,"&lt;&gt;Zaterdag",$A$3:$A$33,"&lt;&gt;Zondag",$H$3:$H$33,"=BIR")+SUMIFS($I$3:$I$33,$W$3:$W$33,$Z5,$A$3:$A$33,"&lt;&gt;Zaterdag",$A$3:$A$33,"&lt;&gt;Zondag",$H$3:$H$33,"=OPL"))</f>
        <v>0</v>
      </c>
      <c r="AE5" s="4">
        <f t="shared" si="6"/>
        <v>0</v>
      </c>
    </row>
    <row r="6" spans="1:31" x14ac:dyDescent="0.25">
      <c r="A6" s="100" t="str">
        <f t="shared" si="0"/>
        <v>Vrijdag</v>
      </c>
      <c r="B6" s="226">
        <f t="shared" si="7"/>
        <v>46360</v>
      </c>
      <c r="C6" s="149"/>
      <c r="D6" s="149"/>
      <c r="E6" s="149"/>
      <c r="F6" s="149"/>
      <c r="G6" s="149"/>
      <c r="H6" s="79"/>
      <c r="I6" s="149"/>
      <c r="J6" s="188" t="str">
        <f t="shared" si="3"/>
        <v/>
      </c>
      <c r="K6" s="150">
        <f>IF(Basisgegevens!$F$1="JA",IF(D6="",0,(1-D6)+(E6)-G6),(E6-D6)-G6)</f>
        <v>0</v>
      </c>
      <c r="L6" s="44" t="str">
        <f t="shared" si="4"/>
        <v/>
      </c>
      <c r="M6" s="150">
        <f t="shared" si="8"/>
        <v>0</v>
      </c>
      <c r="N6" s="44" t="str">
        <f t="shared" si="2"/>
        <v/>
      </c>
      <c r="O6" s="150">
        <f>IF(OR(WEEKDAY(B6)=1,WEEKDAY(B6)=7,B6=Basisgegevens!B$4,B6=Basisgegevens!B$5,B6=Basisgegevens!B$6,B6=Basisgegevens!B$7,B6=Basisgegevens!B$8,B6=Basisgegevens!B$9,B6=Basisgegevens!B$10,B6=Basisgegevens!B$11,B6=Basisgegevens!B$12,B6=Basisgegevens!B$13,B6=Basisgegevens!B$14,B6=Basisgegevens!B$15),0,IF(K6&lt;=(TIME(8,0,0)),K6,(TIME(8,0,0))))</f>
        <v>0</v>
      </c>
      <c r="P6" s="71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0,IF(WEEKDAY(B6)=7,K6,K6-O6))</f>
        <v>0</v>
      </c>
      <c r="Q6" s="72">
        <f>IF(OR(WEEKDAY(B6)=1,B6=Basisgegevens!B$4,B6=Basisgegevens!B$5,B6=Basisgegevens!B$6,B6=Basisgegevens!B$7,B6=Basisgegevens!B$8,B6=Basisgegevens!B$9,B6=Basisgegevens!B$10,B6=Basisgegevens!B$11,B6=Basisgegevens!B$12,B6=Basisgegevens!B$13,B6=Basisgegevens!B$14,B6=Basisgegevens!B$15),K6,0)</f>
        <v>0</v>
      </c>
      <c r="R6" s="227"/>
      <c r="S6" s="227"/>
      <c r="T6" s="41"/>
      <c r="U6" s="100"/>
      <c r="V6" s="136" t="str">
        <f>IF(OR(B6=Basisgegevens!$B$4,B6=Basisgegevens!$B$5,B6=Basisgegevens!$B$6,B6=Basisgegevens!$B$7,B6=Basisgegevens!$B$8,B6=Basisgegevens!$B$9,B6=Basisgegevens!$B$10,B6=Basisgegevens!$B$11,B6=Basisgegevens!$B$12,B6=Basisgegevens!$B$13,B6=Basisgegevens!$B$14,B6=Basisgegevens!$B$15),"FD","")</f>
        <v/>
      </c>
      <c r="W6" s="220">
        <f t="shared" si="5"/>
        <v>49</v>
      </c>
      <c r="X6" s="31" t="str">
        <f>IF($D6="","",IF($B6&lt;Basisgegevens!$H$4,((((DAY($O6))*24)+(HOUR($O6))+((MINUTE($O6))/60))*Basisgegevens!$I$3)+((((DAY($P6))*24)+(HOUR($P6))+((MINUTE($P6))/60))*Basisgegevens!$I$3*1.5)+((((DAY($Q6))*24)+(HOUR($Q6))+((MINUTE($Q6))/60))*Basisgegevens!$I$3*2)+Basisgegevens!$J$3,IF(Jan!$B6&lt;Basisgegevens!$H$5,((((DAY($O6))*24)+(HOUR($O6))+((MINUTE($O6))/60))*Basisgegevens!$I$4)+((((DAY($P6))*24)+(HOUR($P6))+((MINUTE($P6))/60))*Basisgegevens!$I$4*1.5)+((((DAY($Q6))*24)+(HOUR($Q6))+((MINUTE($Q6))/60))*Basisgegevens!$I$4*2)+Basisgegevens!$J$4,((((DAY($O6))*24)+(HOUR($O6))+((MINUTE($O6))/60))*Basisgegevens!$I$5)+((((DAY($P6))*24)+(HOUR($P6))+((MINUTE($P6))/60))*Basisgegevens!$I$5*1.5)+((((DAY($Q6))*24)+(HOUR($Q6))+((MINUTE($Q6))/60))*Basisgegevens!$I$5*2)+Basisgegevens!$J$5)))</f>
        <v/>
      </c>
      <c r="Y6" s="31" t="str">
        <f>IF($D6="","",IF($B6&lt;Basisgegevens!$H$4,((((DAY($O6))*24)+(HOUR($O6))+((MINUTE($O6))/60))*Basisgegevens!$K$3)+((((DAY($P6))*24)+(HOUR($P6))+((MINUTE($P6))/60))*Basisgegevens!$K$3*1.5)+((((DAY($Q6))*24)+(HOUR($Q6))+((MINUTE($Q6))/60))*Basisgegevens!$K$3*2)+Basisgegevens!$L$3,IF(Jan!$B6&lt;Basisgegevens!$H$5,((((DAY($O6))*24)+(HOUR($O6))+((MINUTE($O6))/60))*Basisgegevens!$K$4)+((((DAY($P6))*24)+(HOUR($P6))+((MINUTE($P6))/60))*Basisgegevens!$K$4*1.5)+((((DAY($Q6))*24)+(HOUR($Q6))+((MINUTE($Q6))/60))*Basisgegevens!$K$4*2)+Basisgegevens!$L$4,((((DAY($O6))*24)+(HOUR($O6))+((MINUTE($O6))/60))*Basisgegevens!$K$5)+((((DAY($P6))*24)+(HOUR($P6))+((MINUTE($P6))/60))*Basisgegevens!$K$5*1.5)+((((DAY($Q6))*24)+(HOUR($Q6))+((MINUTE($Q6))/60))*Basisgegevens!$K$5*2)+Basisgegevens!$L$5)))</f>
        <v/>
      </c>
      <c r="Z6" s="62">
        <f t="shared" ref="Z6:Z9" si="12">IF(W$33=Z5,"",Z5+1)</f>
        <v>51</v>
      </c>
      <c r="AA6" s="211">
        <f t="shared" si="9"/>
        <v>0</v>
      </c>
      <c r="AB6" s="211">
        <f t="shared" si="10"/>
        <v>0</v>
      </c>
      <c r="AC6" s="168">
        <f t="shared" ref="AC6:AC9" si="13">IF($Z6="","",SUMIFS($M$3:$M$33,$W$3:$W$33,$Z6,$A$3:$A$33,"&lt;&gt;Zaterdag",$A$3:$A$33,"&lt;&gt;Zondag"))</f>
        <v>0</v>
      </c>
      <c r="AD6" s="238">
        <f t="shared" si="11"/>
        <v>0</v>
      </c>
      <c r="AE6" s="4">
        <f t="shared" si="6"/>
        <v>0</v>
      </c>
    </row>
    <row r="7" spans="1:31" x14ac:dyDescent="0.25">
      <c r="A7" s="100" t="str">
        <f t="shared" si="0"/>
        <v>Zaterdag</v>
      </c>
      <c r="B7" s="226">
        <f t="shared" si="7"/>
        <v>46361</v>
      </c>
      <c r="C7" s="149"/>
      <c r="D7" s="149"/>
      <c r="E7" s="149"/>
      <c r="F7" s="149"/>
      <c r="G7" s="149"/>
      <c r="H7" s="79"/>
      <c r="I7" s="149"/>
      <c r="J7" s="188" t="str">
        <f t="shared" si="3"/>
        <v/>
      </c>
      <c r="K7" s="150">
        <f>IF(Basisgegevens!$F$1="JA",IF(D7="",0,(1-D7)+(E7)-G7),(E7-D7)-G7)</f>
        <v>0</v>
      </c>
      <c r="L7" s="44" t="str">
        <f t="shared" si="4"/>
        <v/>
      </c>
      <c r="M7" s="150">
        <f t="shared" si="8"/>
        <v>0</v>
      </c>
      <c r="N7" s="44" t="str">
        <f t="shared" si="2"/>
        <v/>
      </c>
      <c r="O7" s="150">
        <f>IF(OR(WEEKDAY(B7)=1,WEEKDAY(B7)=7,B7=Basisgegevens!B$4,B7=Basisgegevens!B$5,B7=Basisgegevens!B$6,B7=Basisgegevens!B$7,B7=Basisgegevens!B$8,B7=Basisgegevens!B$9,B7=Basisgegevens!B$10,B7=Basisgegevens!B$11,B7=Basisgegevens!B$12,B7=Basisgegevens!B$13,B7=Basisgegevens!B$14,B7=Basisgegevens!B$15),0,IF(K7&lt;=(TIME(8,0,0)),K7,(TIME(8,0,0))))</f>
        <v>0</v>
      </c>
      <c r="P7" s="71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0,IF(WEEKDAY(B7)=7,K7,K7-O7))</f>
        <v>0</v>
      </c>
      <c r="Q7" s="72">
        <f>IF(OR(WEEKDAY(B7)=1,B7=Basisgegevens!B$4,B7=Basisgegevens!B$5,B7=Basisgegevens!B$6,B7=Basisgegevens!B$7,B7=Basisgegevens!B$8,B7=Basisgegevens!B$9,B7=Basisgegevens!B$10,B7=Basisgegevens!B$11,B7=Basisgegevens!B$12,B7=Basisgegevens!B$13,B7=Basisgegevens!B$14,B7=Basisgegevens!B$15),K7,0)</f>
        <v>0</v>
      </c>
      <c r="R7" s="227"/>
      <c r="S7" s="227"/>
      <c r="T7" s="41"/>
      <c r="U7" s="100"/>
      <c r="V7" s="136" t="str">
        <f>IF(OR(B7=Basisgegevens!$B$4,B7=Basisgegevens!$B$5,B7=Basisgegevens!$B$6,B7=Basisgegevens!$B$7,B7=Basisgegevens!$B$8,B7=Basisgegevens!$B$9,B7=Basisgegevens!$B$10,B7=Basisgegevens!$B$11,B7=Basisgegevens!$B$12,B7=Basisgegevens!$B$13,B7=Basisgegevens!$B$14,B7=Basisgegevens!$B$15),"FD","")</f>
        <v/>
      </c>
      <c r="W7" s="220">
        <f t="shared" si="5"/>
        <v>49</v>
      </c>
      <c r="X7" s="31" t="str">
        <f>IF($D7="","",IF($B7&lt;Basisgegevens!$H$4,((((DAY($O7))*24)+(HOUR($O7))+((MINUTE($O7))/60))*Basisgegevens!$I$3)+((((DAY($P7))*24)+(HOUR($P7))+((MINUTE($P7))/60))*Basisgegevens!$I$3*1.5)+((((DAY($Q7))*24)+(HOUR($Q7))+((MINUTE($Q7))/60))*Basisgegevens!$I$3*2)+Basisgegevens!$J$3,IF(Jan!$B7&lt;Basisgegevens!$H$5,((((DAY($O7))*24)+(HOUR($O7))+((MINUTE($O7))/60))*Basisgegevens!$I$4)+((((DAY($P7))*24)+(HOUR($P7))+((MINUTE($P7))/60))*Basisgegevens!$I$4*1.5)+((((DAY($Q7))*24)+(HOUR($Q7))+((MINUTE($Q7))/60))*Basisgegevens!$I$4*2)+Basisgegevens!$J$4,((((DAY($O7))*24)+(HOUR($O7))+((MINUTE($O7))/60))*Basisgegevens!$I$5)+((((DAY($P7))*24)+(HOUR($P7))+((MINUTE($P7))/60))*Basisgegevens!$I$5*1.5)+((((DAY($Q7))*24)+(HOUR($Q7))+((MINUTE($Q7))/60))*Basisgegevens!$I$5*2)+Basisgegevens!$J$5)))</f>
        <v/>
      </c>
      <c r="Y7" s="31" t="str">
        <f>IF($D7="","",IF($B7&lt;Basisgegevens!$H$4,((((DAY($O7))*24)+(HOUR($O7))+((MINUTE($O7))/60))*Basisgegevens!$K$3)+((((DAY($P7))*24)+(HOUR($P7))+((MINUTE($P7))/60))*Basisgegevens!$K$3*1.5)+((((DAY($Q7))*24)+(HOUR($Q7))+((MINUTE($Q7))/60))*Basisgegevens!$K$3*2)+Basisgegevens!$L$3,IF(Jan!$B7&lt;Basisgegevens!$H$5,((((DAY($O7))*24)+(HOUR($O7))+((MINUTE($O7))/60))*Basisgegevens!$K$4)+((((DAY($P7))*24)+(HOUR($P7))+((MINUTE($P7))/60))*Basisgegevens!$K$4*1.5)+((((DAY($Q7))*24)+(HOUR($Q7))+((MINUTE($Q7))/60))*Basisgegevens!$K$4*2)+Basisgegevens!$L$4,((((DAY($O7))*24)+(HOUR($O7))+((MINUTE($O7))/60))*Basisgegevens!$K$5)+((((DAY($P7))*24)+(HOUR($P7))+((MINUTE($P7))/60))*Basisgegevens!$K$5*1.5)+((((DAY($Q7))*24)+(HOUR($Q7))+((MINUTE($Q7))/60))*Basisgegevens!$K$5*2)+Basisgegevens!$L$5)))</f>
        <v/>
      </c>
      <c r="Z7" s="62">
        <f t="shared" si="12"/>
        <v>52</v>
      </c>
      <c r="AA7" s="211">
        <f t="shared" si="9"/>
        <v>0</v>
      </c>
      <c r="AB7" s="211">
        <f t="shared" si="10"/>
        <v>0</v>
      </c>
      <c r="AC7" s="168">
        <f t="shared" si="13"/>
        <v>0</v>
      </c>
      <c r="AD7" s="238">
        <f t="shared" si="11"/>
        <v>0</v>
      </c>
      <c r="AE7" s="4">
        <f t="shared" si="6"/>
        <v>0</v>
      </c>
    </row>
    <row r="8" spans="1:31" x14ac:dyDescent="0.25">
      <c r="A8" s="100" t="str">
        <f t="shared" si="0"/>
        <v>Zondag</v>
      </c>
      <c r="B8" s="226">
        <f t="shared" si="7"/>
        <v>46362</v>
      </c>
      <c r="C8" s="149"/>
      <c r="D8" s="149"/>
      <c r="E8" s="149"/>
      <c r="F8" s="149"/>
      <c r="G8" s="149"/>
      <c r="H8" s="79"/>
      <c r="I8" s="149"/>
      <c r="J8" s="188" t="str">
        <f t="shared" si="3"/>
        <v/>
      </c>
      <c r="K8" s="150">
        <f>IF(Basisgegevens!$F$1="JA",IF(D8="",0,(1-D8)+(E8)-G8),(E8-D8)-G8)</f>
        <v>0</v>
      </c>
      <c r="L8" s="44" t="str">
        <f t="shared" si="4"/>
        <v/>
      </c>
      <c r="M8" s="150">
        <f t="shared" si="8"/>
        <v>0</v>
      </c>
      <c r="N8" s="44" t="str">
        <f t="shared" si="2"/>
        <v/>
      </c>
      <c r="O8" s="150">
        <f>IF(OR(WEEKDAY(B8)=1,WEEKDAY(B8)=7,B8=Basisgegevens!B$4,B8=Basisgegevens!B$5,B8=Basisgegevens!B$6,B8=Basisgegevens!B$7,B8=Basisgegevens!B$8,B8=Basisgegevens!B$9,B8=Basisgegevens!B$10,B8=Basisgegevens!B$11,B8=Basisgegevens!B$12,B8=Basisgegevens!B$13,B8=Basisgegevens!B$14,B8=Basisgegevens!B$15),0,IF(K8&lt;=(TIME(8,0,0)),K8,(TIME(8,0,0))))</f>
        <v>0</v>
      </c>
      <c r="P8" s="71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0,IF(WEEKDAY(B8)=7,K8,K8-O8))</f>
        <v>0</v>
      </c>
      <c r="Q8" s="72">
        <f>IF(OR(WEEKDAY(B8)=1,B8=Basisgegevens!B$4,B8=Basisgegevens!B$5,B8=Basisgegevens!B$6,B8=Basisgegevens!B$7,B8=Basisgegevens!B$8,B8=Basisgegevens!B$9,B8=Basisgegevens!B$10,B8=Basisgegevens!B$11,B8=Basisgegevens!B$12,B8=Basisgegevens!B$13,B8=Basisgegevens!B$14,B8=Basisgegevens!B$15),K8,0)</f>
        <v>0</v>
      </c>
      <c r="R8" s="227"/>
      <c r="S8" s="227"/>
      <c r="T8" s="41"/>
      <c r="U8" s="100"/>
      <c r="V8" s="136" t="str">
        <f>IF(OR(B8=Basisgegevens!$B$4,B8=Basisgegevens!$B$5,B8=Basisgegevens!$B$6,B8=Basisgegevens!$B$7,B8=Basisgegevens!$B$8,B8=Basisgegevens!$B$9,B8=Basisgegevens!$B$10,B8=Basisgegevens!$B$11,B8=Basisgegevens!$B$12,B8=Basisgegevens!$B$13,B8=Basisgegevens!$B$14,B8=Basisgegevens!$B$15),"FD","")</f>
        <v/>
      </c>
      <c r="W8" s="220">
        <f t="shared" si="5"/>
        <v>49</v>
      </c>
      <c r="X8" s="31" t="str">
        <f>IF($D8="","",IF($B8&lt;Basisgegevens!$H$4,((((DAY($O8))*24)+(HOUR($O8))+((MINUTE($O8))/60))*Basisgegevens!$I$3)+((((DAY($P8))*24)+(HOUR($P8))+((MINUTE($P8))/60))*Basisgegevens!$I$3*1.5)+((((DAY($Q8))*24)+(HOUR($Q8))+((MINUTE($Q8))/60))*Basisgegevens!$I$3*2)+Basisgegevens!$J$3,IF(Jan!$B8&lt;Basisgegevens!$H$5,((((DAY($O8))*24)+(HOUR($O8))+((MINUTE($O8))/60))*Basisgegevens!$I$4)+((((DAY($P8))*24)+(HOUR($P8))+((MINUTE($P8))/60))*Basisgegevens!$I$4*1.5)+((((DAY($Q8))*24)+(HOUR($Q8))+((MINUTE($Q8))/60))*Basisgegevens!$I$4*2)+Basisgegevens!$J$4,((((DAY($O8))*24)+(HOUR($O8))+((MINUTE($O8))/60))*Basisgegevens!$I$5)+((((DAY($P8))*24)+(HOUR($P8))+((MINUTE($P8))/60))*Basisgegevens!$I$5*1.5)+((((DAY($Q8))*24)+(HOUR($Q8))+((MINUTE($Q8))/60))*Basisgegevens!$I$5*2)+Basisgegevens!$J$5)))</f>
        <v/>
      </c>
      <c r="Y8" s="31" t="str">
        <f>IF($D8="","",IF($B8&lt;Basisgegevens!$H$4,((((DAY($O8))*24)+(HOUR($O8))+((MINUTE($O8))/60))*Basisgegevens!$K$3)+((((DAY($P8))*24)+(HOUR($P8))+((MINUTE($P8))/60))*Basisgegevens!$K$3*1.5)+((((DAY($Q8))*24)+(HOUR($Q8))+((MINUTE($Q8))/60))*Basisgegevens!$K$3*2)+Basisgegevens!$L$3,IF(Jan!$B8&lt;Basisgegevens!$H$5,((((DAY($O8))*24)+(HOUR($O8))+((MINUTE($O8))/60))*Basisgegevens!$K$4)+((((DAY($P8))*24)+(HOUR($P8))+((MINUTE($P8))/60))*Basisgegevens!$K$4*1.5)+((((DAY($Q8))*24)+(HOUR($Q8))+((MINUTE($Q8))/60))*Basisgegevens!$K$4*2)+Basisgegevens!$L$4,((((DAY($O8))*24)+(HOUR($O8))+((MINUTE($O8))/60))*Basisgegevens!$K$5)+((((DAY($P8))*24)+(HOUR($P8))+((MINUTE($P8))/60))*Basisgegevens!$K$5*1.5)+((((DAY($Q8))*24)+(HOUR($Q8))+((MINUTE($Q8))/60))*Basisgegevens!$K$5*2)+Basisgegevens!$L$5)))</f>
        <v/>
      </c>
      <c r="Z8" s="62">
        <f t="shared" si="12"/>
        <v>53</v>
      </c>
      <c r="AA8" s="211">
        <f t="shared" si="9"/>
        <v>0</v>
      </c>
      <c r="AB8" s="211">
        <f t="shared" si="10"/>
        <v>0</v>
      </c>
      <c r="AC8" s="168">
        <f t="shared" si="13"/>
        <v>0</v>
      </c>
      <c r="AD8" s="238">
        <f t="shared" si="11"/>
        <v>0</v>
      </c>
      <c r="AE8" s="4">
        <f t="shared" si="6"/>
        <v>0</v>
      </c>
    </row>
    <row r="9" spans="1:31" ht="16.5" thickBot="1" x14ac:dyDescent="0.3">
      <c r="A9" s="100" t="str">
        <f t="shared" si="0"/>
        <v>Maandag</v>
      </c>
      <c r="B9" s="226">
        <f t="shared" si="7"/>
        <v>46363</v>
      </c>
      <c r="C9" s="149"/>
      <c r="D9" s="149"/>
      <c r="E9" s="149"/>
      <c r="F9" s="149"/>
      <c r="G9" s="149"/>
      <c r="H9" s="79"/>
      <c r="I9" s="149"/>
      <c r="J9" s="188" t="str">
        <f t="shared" si="3"/>
        <v/>
      </c>
      <c r="K9" s="150">
        <f>IF(Basisgegevens!$F$1="JA",IF(D9="",0,(1-D9)+(E9)-G9),(E9-D9)-G9)</f>
        <v>0</v>
      </c>
      <c r="L9" s="44" t="str">
        <f t="shared" si="4"/>
        <v/>
      </c>
      <c r="M9" s="150">
        <f t="shared" si="8"/>
        <v>0</v>
      </c>
      <c r="N9" s="44" t="str">
        <f t="shared" si="2"/>
        <v/>
      </c>
      <c r="O9" s="150">
        <f>IF(OR(WEEKDAY(B9)=1,WEEKDAY(B9)=7,B9=Basisgegevens!B$4,B9=Basisgegevens!B$5,B9=Basisgegevens!B$6,B9=Basisgegevens!B$7,B9=Basisgegevens!B$8,B9=Basisgegevens!B$9,B9=Basisgegevens!B$10,B9=Basisgegevens!B$11,B9=Basisgegevens!B$12,B9=Basisgegevens!B$13,B9=Basisgegevens!B$14,B9=Basisgegevens!B$15),0,IF(K9&lt;=(TIME(8,0,0)),K9,(TIME(8,0,0))))</f>
        <v>0</v>
      </c>
      <c r="P9" s="71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0,IF(WEEKDAY(B9)=7,K9,K9-O9))</f>
        <v>0</v>
      </c>
      <c r="Q9" s="72">
        <f>IF(OR(WEEKDAY(B9)=1,B9=Basisgegevens!B$4,B9=Basisgegevens!B$5,B9=Basisgegevens!B$6,B9=Basisgegevens!B$7,B9=Basisgegevens!B$8,B9=Basisgegevens!B$9,B9=Basisgegevens!B$10,B9=Basisgegevens!B$11,B9=Basisgegevens!B$12,B9=Basisgegevens!B$13,B9=Basisgegevens!B$14,B9=Basisgegevens!B$15),K9,0)</f>
        <v>0</v>
      </c>
      <c r="R9" s="227"/>
      <c r="S9" s="227"/>
      <c r="T9" s="41"/>
      <c r="U9" s="100"/>
      <c r="V9" s="136" t="str">
        <f>IF(OR(B9=Basisgegevens!$B$4,B9=Basisgegevens!$B$5,B9=Basisgegevens!$B$6,B9=Basisgegevens!$B$7,B9=Basisgegevens!$B$8,B9=Basisgegevens!$B$9,B9=Basisgegevens!$B$10,B9=Basisgegevens!$B$11,B9=Basisgegevens!$B$12,B9=Basisgegevens!$B$13,B9=Basisgegevens!$B$14,B9=Basisgegevens!$B$15),"FD","")</f>
        <v/>
      </c>
      <c r="W9" s="220">
        <f t="shared" si="5"/>
        <v>50</v>
      </c>
      <c r="X9" s="31" t="str">
        <f>IF($D9="","",IF($B9&lt;Basisgegevens!$H$4,((((DAY($O9))*24)+(HOUR($O9))+((MINUTE($O9))/60))*Basisgegevens!$I$3)+((((DAY($P9))*24)+(HOUR($P9))+((MINUTE($P9))/60))*Basisgegevens!$I$3*1.5)+((((DAY($Q9))*24)+(HOUR($Q9))+((MINUTE($Q9))/60))*Basisgegevens!$I$3*2)+Basisgegevens!$J$3,IF(Jan!$B9&lt;Basisgegevens!$H$5,((((DAY($O9))*24)+(HOUR($O9))+((MINUTE($O9))/60))*Basisgegevens!$I$4)+((((DAY($P9))*24)+(HOUR($P9))+((MINUTE($P9))/60))*Basisgegevens!$I$4*1.5)+((((DAY($Q9))*24)+(HOUR($Q9))+((MINUTE($Q9))/60))*Basisgegevens!$I$4*2)+Basisgegevens!$J$4,((((DAY($O9))*24)+(HOUR($O9))+((MINUTE($O9))/60))*Basisgegevens!$I$5)+((((DAY($P9))*24)+(HOUR($P9))+((MINUTE($P9))/60))*Basisgegevens!$I$5*1.5)+((((DAY($Q9))*24)+(HOUR($Q9))+((MINUTE($Q9))/60))*Basisgegevens!$I$5*2)+Basisgegevens!$J$5)))</f>
        <v/>
      </c>
      <c r="Y9" s="31" t="str">
        <f>IF($D9="","",IF($B9&lt;Basisgegevens!$H$4,((((DAY($O9))*24)+(HOUR($O9))+((MINUTE($O9))/60))*Basisgegevens!$K$3)+((((DAY($P9))*24)+(HOUR($P9))+((MINUTE($P9))/60))*Basisgegevens!$K$3*1.5)+((((DAY($Q9))*24)+(HOUR($Q9))+((MINUTE($Q9))/60))*Basisgegevens!$K$3*2)+Basisgegevens!$L$3,IF(Jan!$B9&lt;Basisgegevens!$H$5,((((DAY($O9))*24)+(HOUR($O9))+((MINUTE($O9))/60))*Basisgegevens!$K$4)+((((DAY($P9))*24)+(HOUR($P9))+((MINUTE($P9))/60))*Basisgegevens!$K$4*1.5)+((((DAY($Q9))*24)+(HOUR($Q9))+((MINUTE($Q9))/60))*Basisgegevens!$K$4*2)+Basisgegevens!$L$4,((((DAY($O9))*24)+(HOUR($O9))+((MINUTE($O9))/60))*Basisgegevens!$K$5)+((((DAY($P9))*24)+(HOUR($P9))+((MINUTE($P9))/60))*Basisgegevens!$K$5*1.5)+((((DAY($Q9))*24)+(HOUR($Q9))+((MINUTE($Q9))/60))*Basisgegevens!$K$5*2)+Basisgegevens!$L$5)))</f>
        <v/>
      </c>
      <c r="Z9" s="63" t="str">
        <f t="shared" si="12"/>
        <v/>
      </c>
      <c r="AA9" s="212" t="str">
        <f t="shared" si="9"/>
        <v/>
      </c>
      <c r="AB9" s="212" t="str">
        <f t="shared" si="10"/>
        <v/>
      </c>
      <c r="AC9" s="64" t="str">
        <f t="shared" si="13"/>
        <v/>
      </c>
      <c r="AD9" s="239" t="str">
        <f t="shared" si="11"/>
        <v/>
      </c>
      <c r="AE9" s="4">
        <f t="shared" si="6"/>
        <v>0</v>
      </c>
    </row>
    <row r="10" spans="1:31" ht="16.5" thickBot="1" x14ac:dyDescent="0.3">
      <c r="A10" s="100" t="str">
        <f t="shared" si="0"/>
        <v>Dinsdag</v>
      </c>
      <c r="B10" s="226">
        <f t="shared" si="7"/>
        <v>46364</v>
      </c>
      <c r="C10" s="149"/>
      <c r="D10" s="149"/>
      <c r="E10" s="149"/>
      <c r="F10" s="149"/>
      <c r="G10" s="149"/>
      <c r="H10" s="79"/>
      <c r="I10" s="149"/>
      <c r="J10" s="188" t="str">
        <f t="shared" si="3"/>
        <v/>
      </c>
      <c r="K10" s="150">
        <f>IF(Basisgegevens!$F$1="JA",IF(D10="",0,(1-D10)+(E10)-G10),(E10-D10)-G10)</f>
        <v>0</v>
      </c>
      <c r="L10" s="44" t="str">
        <f t="shared" si="4"/>
        <v/>
      </c>
      <c r="M10" s="150">
        <f t="shared" si="8"/>
        <v>0</v>
      </c>
      <c r="N10" s="44" t="str">
        <f t="shared" si="2"/>
        <v/>
      </c>
      <c r="O10" s="150">
        <f>IF(OR(WEEKDAY(B10)=1,WEEKDAY(B10)=7,B10=Basisgegevens!B$4,B10=Basisgegevens!B$5,B10=Basisgegevens!B$6,B10=Basisgegevens!B$7,B10=Basisgegevens!B$8,B10=Basisgegevens!B$9,B10=Basisgegevens!B$10,B10=Basisgegevens!B$11,B10=Basisgegevens!B$12,B10=Basisgegevens!B$13,B10=Basisgegevens!B$14,B10=Basisgegevens!B$15),0,IF(K10&lt;=(TIME(8,0,0)),K10,(TIME(8,0,0))))</f>
        <v>0</v>
      </c>
      <c r="P10" s="71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0,IF(WEEKDAY(B10)=7,K10,K10-O10))</f>
        <v>0</v>
      </c>
      <c r="Q10" s="72">
        <f>IF(OR(WEEKDAY(B10)=1,B10=Basisgegevens!B$4,B10=Basisgegevens!B$5,B10=Basisgegevens!B$6,B10=Basisgegevens!B$7,B10=Basisgegevens!B$8,B10=Basisgegevens!B$9,B10=Basisgegevens!B$10,B10=Basisgegevens!B$11,B10=Basisgegevens!B$12,B10=Basisgegevens!B$13,B10=Basisgegevens!B$14,B10=Basisgegevens!B$15),K10,0)</f>
        <v>0</v>
      </c>
      <c r="R10" s="227"/>
      <c r="S10" s="227"/>
      <c r="T10" s="41"/>
      <c r="U10" s="100"/>
      <c r="V10" s="136" t="str">
        <f>IF(OR(B10=Basisgegevens!$B$4,B10=Basisgegevens!$B$5,B10=Basisgegevens!$B$6,B10=Basisgegevens!$B$7,B10=Basisgegevens!$B$8,B10=Basisgegevens!$B$9,B10=Basisgegevens!$B$10,B10=Basisgegevens!$B$11,B10=Basisgegevens!$B$12,B10=Basisgegevens!$B$13,B10=Basisgegevens!$B$14,B10=Basisgegevens!$B$15),"FD","")</f>
        <v/>
      </c>
      <c r="W10" s="220">
        <f t="shared" si="5"/>
        <v>50</v>
      </c>
      <c r="X10" s="31" t="str">
        <f>IF($D10="","",IF($B10&lt;Basisgegevens!$H$4,((((DAY($O10))*24)+(HOUR($O10))+((MINUTE($O10))/60))*Basisgegevens!$I$3)+((((DAY($P10))*24)+(HOUR($P10))+((MINUTE($P10))/60))*Basisgegevens!$I$3*1.5)+((((DAY($Q10))*24)+(HOUR($Q10))+((MINUTE($Q10))/60))*Basisgegevens!$I$3*2)+Basisgegevens!$J$3,IF(Jan!$B10&lt;Basisgegevens!$H$5,((((DAY($O10))*24)+(HOUR($O10))+((MINUTE($O10))/60))*Basisgegevens!$I$4)+((((DAY($P10))*24)+(HOUR($P10))+((MINUTE($P10))/60))*Basisgegevens!$I$4*1.5)+((((DAY($Q10))*24)+(HOUR($Q10))+((MINUTE($Q10))/60))*Basisgegevens!$I$4*2)+Basisgegevens!$J$4,((((DAY($O10))*24)+(HOUR($O10))+((MINUTE($O10))/60))*Basisgegevens!$I$5)+((((DAY($P10))*24)+(HOUR($P10))+((MINUTE($P10))/60))*Basisgegevens!$I$5*1.5)+((((DAY($Q10))*24)+(HOUR($Q10))+((MINUTE($Q10))/60))*Basisgegevens!$I$5*2)+Basisgegevens!$J$5)))</f>
        <v/>
      </c>
      <c r="Y10" s="31" t="str">
        <f>IF($D10="","",IF($B10&lt;Basisgegevens!$H$4,((((DAY($O10))*24)+(HOUR($O10))+((MINUTE($O10))/60))*Basisgegevens!$K$3)+((((DAY($P10))*24)+(HOUR($P10))+((MINUTE($P10))/60))*Basisgegevens!$K$3*1.5)+((((DAY($Q10))*24)+(HOUR($Q10))+((MINUTE($Q10))/60))*Basisgegevens!$K$3*2)+Basisgegevens!$L$3,IF(Jan!$B10&lt;Basisgegevens!$H$5,((((DAY($O10))*24)+(HOUR($O10))+((MINUTE($O10))/60))*Basisgegevens!$K$4)+((((DAY($P10))*24)+(HOUR($P10))+((MINUTE($P10))/60))*Basisgegevens!$K$4*1.5)+((((DAY($Q10))*24)+(HOUR($Q10))+((MINUTE($Q10))/60))*Basisgegevens!$K$4*2)+Basisgegevens!$L$4,((((DAY($O10))*24)+(HOUR($O10))+((MINUTE($O10))/60))*Basisgegevens!$K$5)+((((DAY($P10))*24)+(HOUR($P10))+((MINUTE($P10))/60))*Basisgegevens!$K$5*1.5)+((((DAY($Q10))*24)+(HOUR($Q10))+((MINUTE($Q10))/60))*Basisgegevens!$K$5*2)+Basisgegevens!$L$5)))</f>
        <v/>
      </c>
      <c r="Z10" s="215"/>
      <c r="AA10" s="215"/>
      <c r="AB10" s="215"/>
      <c r="AC10" s="215"/>
      <c r="AE10" s="4">
        <f t="shared" si="6"/>
        <v>0</v>
      </c>
    </row>
    <row r="11" spans="1:31" ht="16.5" thickBot="1" x14ac:dyDescent="0.3">
      <c r="A11" s="100" t="str">
        <f t="shared" si="0"/>
        <v>Woensdag</v>
      </c>
      <c r="B11" s="226">
        <f t="shared" si="7"/>
        <v>46365</v>
      </c>
      <c r="C11" s="149"/>
      <c r="D11" s="149"/>
      <c r="E11" s="149"/>
      <c r="F11" s="149"/>
      <c r="G11" s="149"/>
      <c r="H11" s="79"/>
      <c r="I11" s="149"/>
      <c r="J11" s="188" t="str">
        <f t="shared" si="3"/>
        <v/>
      </c>
      <c r="K11" s="150">
        <f>IF(Basisgegevens!$F$1="JA",IF(D11="",0,(1-D11)+(E11)-G11),(E11-D11)-G11)</f>
        <v>0</v>
      </c>
      <c r="L11" s="44" t="str">
        <f t="shared" si="4"/>
        <v/>
      </c>
      <c r="M11" s="150">
        <f t="shared" si="8"/>
        <v>0</v>
      </c>
      <c r="N11" s="44" t="str">
        <f t="shared" si="2"/>
        <v/>
      </c>
      <c r="O11" s="150">
        <f>IF(OR(WEEKDAY(B11)=1,WEEKDAY(B11)=7,B11=Basisgegevens!B$4,B11=Basisgegevens!B$5,B11=Basisgegevens!B$6,B11=Basisgegevens!B$7,B11=Basisgegevens!B$8,B11=Basisgegevens!B$9,B11=Basisgegevens!B$10,B11=Basisgegevens!B$11,B11=Basisgegevens!B$12,B11=Basisgegevens!B$13,B11=Basisgegevens!B$14,B11=Basisgegevens!B$15),0,IF(K11&lt;=(TIME(8,0,0)),K11,(TIME(8,0,0))))</f>
        <v>0</v>
      </c>
      <c r="P11" s="71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0,IF(WEEKDAY(B11)=7,K11,K11-O11))</f>
        <v>0</v>
      </c>
      <c r="Q11" s="72">
        <f>IF(OR(WEEKDAY(B11)=1,B11=Basisgegevens!B$4,B11=Basisgegevens!B$5,B11=Basisgegevens!B$6,B11=Basisgegevens!B$7,B11=Basisgegevens!B$8,B11=Basisgegevens!B$9,B11=Basisgegevens!B$10,B11=Basisgegevens!B$11,B11=Basisgegevens!B$12,B11=Basisgegevens!B$13,B11=Basisgegevens!B$14,B11=Basisgegevens!B$15),K11,0)</f>
        <v>0</v>
      </c>
      <c r="R11" s="227"/>
      <c r="S11" s="227"/>
      <c r="T11" s="41"/>
      <c r="U11" s="100"/>
      <c r="V11" s="136" t="str">
        <f>IF(OR(B11=Basisgegevens!$B$4,B11=Basisgegevens!$B$5,B11=Basisgegevens!$B$6,B11=Basisgegevens!$B$7,B11=Basisgegevens!$B$8,B11=Basisgegevens!$B$9,B11=Basisgegevens!$B$10,B11=Basisgegevens!$B$11,B11=Basisgegevens!$B$12,B11=Basisgegevens!$B$13,B11=Basisgegevens!$B$14,B11=Basisgegevens!$B$15),"FD","")</f>
        <v/>
      </c>
      <c r="W11" s="220">
        <f t="shared" si="5"/>
        <v>50</v>
      </c>
      <c r="X11" s="31" t="str">
        <f>IF($D11="","",IF($B11&lt;Basisgegevens!$H$4,((((DAY($O11))*24)+(HOUR($O11))+((MINUTE($O11))/60))*Basisgegevens!$I$3)+((((DAY($P11))*24)+(HOUR($P11))+((MINUTE($P11))/60))*Basisgegevens!$I$3*1.5)+((((DAY($Q11))*24)+(HOUR($Q11))+((MINUTE($Q11))/60))*Basisgegevens!$I$3*2)+Basisgegevens!$J$3,IF(Jan!$B11&lt;Basisgegevens!$H$5,((((DAY($O11))*24)+(HOUR($O11))+((MINUTE($O11))/60))*Basisgegevens!$I$4)+((((DAY($P11))*24)+(HOUR($P11))+((MINUTE($P11))/60))*Basisgegevens!$I$4*1.5)+((((DAY($Q11))*24)+(HOUR($Q11))+((MINUTE($Q11))/60))*Basisgegevens!$I$4*2)+Basisgegevens!$J$4,((((DAY($O11))*24)+(HOUR($O11))+((MINUTE($O11))/60))*Basisgegevens!$I$5)+((((DAY($P11))*24)+(HOUR($P11))+((MINUTE($P11))/60))*Basisgegevens!$I$5*1.5)+((((DAY($Q11))*24)+(HOUR($Q11))+((MINUTE($Q11))/60))*Basisgegevens!$I$5*2)+Basisgegevens!$J$5)))</f>
        <v/>
      </c>
      <c r="Y11" s="31" t="str">
        <f>IF($D11="","",IF($B11&lt;Basisgegevens!$H$4,((((DAY($O11))*24)+(HOUR($O11))+((MINUTE($O11))/60))*Basisgegevens!$K$3)+((((DAY($P11))*24)+(HOUR($P11))+((MINUTE($P11))/60))*Basisgegevens!$K$3*1.5)+((((DAY($Q11))*24)+(HOUR($Q11))+((MINUTE($Q11))/60))*Basisgegevens!$K$3*2)+Basisgegevens!$L$3,IF(Jan!$B11&lt;Basisgegevens!$H$5,((((DAY($O11))*24)+(HOUR($O11))+((MINUTE($O11))/60))*Basisgegevens!$K$4)+((((DAY($P11))*24)+(HOUR($P11))+((MINUTE($P11))/60))*Basisgegevens!$K$4*1.5)+((((DAY($Q11))*24)+(HOUR($Q11))+((MINUTE($Q11))/60))*Basisgegevens!$K$4*2)+Basisgegevens!$L$4,((((DAY($O11))*24)+(HOUR($O11))+((MINUTE($O11))/60))*Basisgegevens!$K$5)+((((DAY($P11))*24)+(HOUR($P11))+((MINUTE($P11))/60))*Basisgegevens!$K$5*1.5)+((((DAY($Q11))*24)+(HOUR($Q11))+((MINUTE($Q11))/60))*Basisgegevens!$K$5*2)+Basisgegevens!$L$5)))</f>
        <v/>
      </c>
      <c r="Z11" s="59" t="s">
        <v>14</v>
      </c>
      <c r="AA11" s="164" t="s">
        <v>0</v>
      </c>
      <c r="AB11" s="164" t="s">
        <v>96</v>
      </c>
      <c r="AC11" s="60" t="s">
        <v>107</v>
      </c>
      <c r="AE11" s="4">
        <f t="shared" si="6"/>
        <v>0</v>
      </c>
    </row>
    <row r="12" spans="1:31" x14ac:dyDescent="0.25">
      <c r="A12" s="100" t="str">
        <f t="shared" si="0"/>
        <v>Donderdag</v>
      </c>
      <c r="B12" s="226">
        <f t="shared" si="7"/>
        <v>46366</v>
      </c>
      <c r="C12" s="149"/>
      <c r="D12" s="149"/>
      <c r="E12" s="149"/>
      <c r="F12" s="149"/>
      <c r="G12" s="149"/>
      <c r="H12" s="79"/>
      <c r="I12" s="149"/>
      <c r="J12" s="188" t="str">
        <f t="shared" si="3"/>
        <v/>
      </c>
      <c r="K12" s="150">
        <f>IF(Basisgegevens!$F$1="JA",IF(D12="",0,(1-D12)+(E12)-G12),(E12-D12)-G12)</f>
        <v>0</v>
      </c>
      <c r="L12" s="44" t="str">
        <f t="shared" si="4"/>
        <v/>
      </c>
      <c r="M12" s="150">
        <f t="shared" si="8"/>
        <v>0</v>
      </c>
      <c r="N12" s="44" t="str">
        <f t="shared" si="2"/>
        <v/>
      </c>
      <c r="O12" s="150">
        <f>IF(OR(WEEKDAY(B12)=1,WEEKDAY(B12)=7,B12=Basisgegevens!B$4,B12=Basisgegevens!B$5,B12=Basisgegevens!B$6,B12=Basisgegevens!B$7,B12=Basisgegevens!B$8,B12=Basisgegevens!B$9,B12=Basisgegevens!B$10,B12=Basisgegevens!B$11,B12=Basisgegevens!B$12,B12=Basisgegevens!B$13,B12=Basisgegevens!B$14,B12=Basisgegevens!B$15),0,IF(K12&lt;=(TIME(8,0,0)),K12,(TIME(8,0,0))))</f>
        <v>0</v>
      </c>
      <c r="P12" s="71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0,IF(WEEKDAY(B12)=7,K12,K12-O12))</f>
        <v>0</v>
      </c>
      <c r="Q12" s="72">
        <f>IF(OR(WEEKDAY(B12)=1,B12=Basisgegevens!B$4,B12=Basisgegevens!B$5,B12=Basisgegevens!B$6,B12=Basisgegevens!B$7,B12=Basisgegevens!B$8,B12=Basisgegevens!B$9,B12=Basisgegevens!B$10,B12=Basisgegevens!B$11,B12=Basisgegevens!B$12,B12=Basisgegevens!B$13,B12=Basisgegevens!B$14,B12=Basisgegevens!B$15),K12,0)</f>
        <v>0</v>
      </c>
      <c r="R12" s="227"/>
      <c r="S12" s="227"/>
      <c r="T12" s="41"/>
      <c r="U12" s="100"/>
      <c r="V12" s="136" t="str">
        <f>IF(OR(B12=Basisgegevens!$B$4,B12=Basisgegevens!$B$5,B12=Basisgegevens!$B$6,B12=Basisgegevens!$B$7,B12=Basisgegevens!$B$8,B12=Basisgegevens!$B$9,B12=Basisgegevens!$B$10,B12=Basisgegevens!$B$11,B12=Basisgegevens!$B$12,B12=Basisgegevens!$B$13,B12=Basisgegevens!$B$14,B12=Basisgegevens!$B$15),"FD","")</f>
        <v/>
      </c>
      <c r="W12" s="220">
        <f t="shared" si="5"/>
        <v>50</v>
      </c>
      <c r="X12" s="31" t="str">
        <f>IF($D12="","",IF($B12&lt;Basisgegevens!$H$4,((((DAY($O12))*24)+(HOUR($O12))+((MINUTE($O12))/60))*Basisgegevens!$I$3)+((((DAY($P12))*24)+(HOUR($P12))+((MINUTE($P12))/60))*Basisgegevens!$I$3*1.5)+((((DAY($Q12))*24)+(HOUR($Q12))+((MINUTE($Q12))/60))*Basisgegevens!$I$3*2)+Basisgegevens!$J$3,IF(Jan!$B12&lt;Basisgegevens!$H$5,((((DAY($O12))*24)+(HOUR($O12))+((MINUTE($O12))/60))*Basisgegevens!$I$4)+((((DAY($P12))*24)+(HOUR($P12))+((MINUTE($P12))/60))*Basisgegevens!$I$4*1.5)+((((DAY($Q12))*24)+(HOUR($Q12))+((MINUTE($Q12))/60))*Basisgegevens!$I$4*2)+Basisgegevens!$J$4,((((DAY($O12))*24)+(HOUR($O12))+((MINUTE($O12))/60))*Basisgegevens!$I$5)+((((DAY($P12))*24)+(HOUR($P12))+((MINUTE($P12))/60))*Basisgegevens!$I$5*1.5)+((((DAY($Q12))*24)+(HOUR($Q12))+((MINUTE($Q12))/60))*Basisgegevens!$I$5*2)+Basisgegevens!$J$5)))</f>
        <v/>
      </c>
      <c r="Y12" s="31" t="str">
        <f>IF($D12="","",IF($B12&lt;Basisgegevens!$H$4,((((DAY($O12))*24)+(HOUR($O12))+((MINUTE($O12))/60))*Basisgegevens!$K$3)+((((DAY($P12))*24)+(HOUR($P12))+((MINUTE($P12))/60))*Basisgegevens!$K$3*1.5)+((((DAY($Q12))*24)+(HOUR($Q12))+((MINUTE($Q12))/60))*Basisgegevens!$K$3*2)+Basisgegevens!$L$3,IF(Jan!$B12&lt;Basisgegevens!$H$5,((((DAY($O12))*24)+(HOUR($O12))+((MINUTE($O12))/60))*Basisgegevens!$K$4)+((((DAY($P12))*24)+(HOUR($P12))+((MINUTE($P12))/60))*Basisgegevens!$K$4*1.5)+((((DAY($Q12))*24)+(HOUR($Q12))+((MINUTE($Q12))/60))*Basisgegevens!$K$4*2)+Basisgegevens!$L$4,((((DAY($O12))*24)+(HOUR($O12))+((MINUTE($O12))/60))*Basisgegevens!$K$5)+((((DAY($P12))*24)+(HOUR($P12))+((MINUTE($P12))/60))*Basisgegevens!$K$5*1.5)+((((DAY($Q12))*24)+(HOUR($Q12))+((MINUTE($Q12))/60))*Basisgegevens!$K$5*2)+Basisgegevens!$L$5)))</f>
        <v/>
      </c>
      <c r="Z12" s="206">
        <f t="shared" ref="Z12:Z17" si="14">Z4</f>
        <v>49</v>
      </c>
      <c r="AA12" s="207">
        <f t="shared" ref="AA12:AC17" si="15">IF(AA4="","",AA4*24)</f>
        <v>0</v>
      </c>
      <c r="AB12" s="207">
        <f t="shared" si="15"/>
        <v>0</v>
      </c>
      <c r="AC12" s="203">
        <f t="shared" si="15"/>
        <v>0</v>
      </c>
      <c r="AE12" s="4">
        <f t="shared" si="6"/>
        <v>0</v>
      </c>
    </row>
    <row r="13" spans="1:31" x14ac:dyDescent="0.25">
      <c r="A13" s="100" t="str">
        <f t="shared" si="0"/>
        <v>Vrijdag</v>
      </c>
      <c r="B13" s="226">
        <f t="shared" si="7"/>
        <v>46367</v>
      </c>
      <c r="C13" s="149"/>
      <c r="D13" s="149"/>
      <c r="E13" s="149"/>
      <c r="F13" s="149"/>
      <c r="G13" s="149"/>
      <c r="H13" s="79"/>
      <c r="I13" s="149"/>
      <c r="J13" s="188" t="str">
        <f t="shared" si="3"/>
        <v/>
      </c>
      <c r="K13" s="150">
        <f>IF(Basisgegevens!$F$1="JA",IF(D13="",0,(1-D13)+(E13)-G13),(E13-D13)-G13)</f>
        <v>0</v>
      </c>
      <c r="L13" s="44" t="str">
        <f t="shared" si="4"/>
        <v/>
      </c>
      <c r="M13" s="150">
        <f t="shared" si="8"/>
        <v>0</v>
      </c>
      <c r="N13" s="44" t="str">
        <f t="shared" si="2"/>
        <v/>
      </c>
      <c r="O13" s="150">
        <f>IF(OR(WEEKDAY(B13)=1,WEEKDAY(B13)=7,B13=Basisgegevens!B$4,B13=Basisgegevens!B$5,B13=Basisgegevens!B$6,B13=Basisgegevens!B$7,B13=Basisgegevens!B$8,B13=Basisgegevens!B$9,B13=Basisgegevens!B$10,B13=Basisgegevens!B$11,B13=Basisgegevens!B$12,B13=Basisgegevens!B$13,B13=Basisgegevens!B$14,B13=Basisgegevens!B$15),0,IF(K13&lt;=(TIME(8,0,0)),K13,(TIME(8,0,0))))</f>
        <v>0</v>
      </c>
      <c r="P13" s="71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0,IF(WEEKDAY(B13)=7,K13,K13-O13))</f>
        <v>0</v>
      </c>
      <c r="Q13" s="72">
        <f>IF(OR(WEEKDAY(B13)=1,B13=Basisgegevens!B$4,B13=Basisgegevens!B$5,B13=Basisgegevens!B$6,B13=Basisgegevens!B$7,B13=Basisgegevens!B$8,B13=Basisgegevens!B$9,B13=Basisgegevens!B$10,B13=Basisgegevens!B$11,B13=Basisgegevens!B$12,B13=Basisgegevens!B$13,B13=Basisgegevens!B$14,B13=Basisgegevens!B$15),K13,0)</f>
        <v>0</v>
      </c>
      <c r="R13" s="227"/>
      <c r="S13" s="227"/>
      <c r="T13" s="41"/>
      <c r="U13" s="100"/>
      <c r="V13" s="136" t="str">
        <f>IF(OR(B13=Basisgegevens!$B$4,B13=Basisgegevens!$B$5,B13=Basisgegevens!$B$6,B13=Basisgegevens!$B$7,B13=Basisgegevens!$B$8,B13=Basisgegevens!$B$9,B13=Basisgegevens!$B$10,B13=Basisgegevens!$B$11,B13=Basisgegevens!$B$12,B13=Basisgegevens!$B$13,B13=Basisgegevens!$B$14,B13=Basisgegevens!$B$15),"FD","")</f>
        <v/>
      </c>
      <c r="W13" s="220">
        <f t="shared" si="5"/>
        <v>50</v>
      </c>
      <c r="X13" s="31" t="str">
        <f>IF($D13="","",IF($B13&lt;Basisgegevens!$H$4,((((DAY($O13))*24)+(HOUR($O13))+((MINUTE($O13))/60))*Basisgegevens!$I$3)+((((DAY($P13))*24)+(HOUR($P13))+((MINUTE($P13))/60))*Basisgegevens!$I$3*1.5)+((((DAY($Q13))*24)+(HOUR($Q13))+((MINUTE($Q13))/60))*Basisgegevens!$I$3*2)+Basisgegevens!$J$3,IF(Jan!$B13&lt;Basisgegevens!$H$5,((((DAY($O13))*24)+(HOUR($O13))+((MINUTE($O13))/60))*Basisgegevens!$I$4)+((((DAY($P13))*24)+(HOUR($P13))+((MINUTE($P13))/60))*Basisgegevens!$I$4*1.5)+((((DAY($Q13))*24)+(HOUR($Q13))+((MINUTE($Q13))/60))*Basisgegevens!$I$4*2)+Basisgegevens!$J$4,((((DAY($O13))*24)+(HOUR($O13))+((MINUTE($O13))/60))*Basisgegevens!$I$5)+((((DAY($P13))*24)+(HOUR($P13))+((MINUTE($P13))/60))*Basisgegevens!$I$5*1.5)+((((DAY($Q13))*24)+(HOUR($Q13))+((MINUTE($Q13))/60))*Basisgegevens!$I$5*2)+Basisgegevens!$J$5)))</f>
        <v/>
      </c>
      <c r="Y13" s="31" t="str">
        <f>IF($D13="","",IF($B13&lt;Basisgegevens!$H$4,((((DAY($O13))*24)+(HOUR($O13))+((MINUTE($O13))/60))*Basisgegevens!$K$3)+((((DAY($P13))*24)+(HOUR($P13))+((MINUTE($P13))/60))*Basisgegevens!$K$3*1.5)+((((DAY($Q13))*24)+(HOUR($Q13))+((MINUTE($Q13))/60))*Basisgegevens!$K$3*2)+Basisgegevens!$L$3,IF(Jan!$B13&lt;Basisgegevens!$H$5,((((DAY($O13))*24)+(HOUR($O13))+((MINUTE($O13))/60))*Basisgegevens!$K$4)+((((DAY($P13))*24)+(HOUR($P13))+((MINUTE($P13))/60))*Basisgegevens!$K$4*1.5)+((((DAY($Q13))*24)+(HOUR($Q13))+((MINUTE($Q13))/60))*Basisgegevens!$K$4*2)+Basisgegevens!$L$4,((((DAY($O13))*24)+(HOUR($O13))+((MINUTE($O13))/60))*Basisgegevens!$K$5)+((((DAY($P13))*24)+(HOUR($P13))+((MINUTE($P13))/60))*Basisgegevens!$K$5*1.5)+((((DAY($Q13))*24)+(HOUR($Q13))+((MINUTE($Q13))/60))*Basisgegevens!$K$5*2)+Basisgegevens!$L$5)))</f>
        <v/>
      </c>
      <c r="Z13" s="62">
        <f t="shared" si="14"/>
        <v>50</v>
      </c>
      <c r="AA13" s="208">
        <f t="shared" si="15"/>
        <v>0</v>
      </c>
      <c r="AB13" s="208">
        <f t="shared" si="15"/>
        <v>0</v>
      </c>
      <c r="AC13" s="204">
        <f t="shared" si="15"/>
        <v>0</v>
      </c>
      <c r="AE13" s="4">
        <f t="shared" si="6"/>
        <v>0</v>
      </c>
    </row>
    <row r="14" spans="1:31" ht="15" customHeight="1" x14ac:dyDescent="0.25">
      <c r="A14" s="100" t="str">
        <f t="shared" si="0"/>
        <v>Zaterdag</v>
      </c>
      <c r="B14" s="226">
        <f t="shared" si="7"/>
        <v>46368</v>
      </c>
      <c r="C14" s="149"/>
      <c r="D14" s="149"/>
      <c r="E14" s="149"/>
      <c r="F14" s="149"/>
      <c r="G14" s="149"/>
      <c r="H14" s="79"/>
      <c r="I14" s="149"/>
      <c r="J14" s="188" t="str">
        <f t="shared" si="3"/>
        <v/>
      </c>
      <c r="K14" s="150">
        <f>IF(Basisgegevens!$F$1="JA",IF(D14="",0,(1-D14)+(E14)-G14),(E14-D14)-G14)</f>
        <v>0</v>
      </c>
      <c r="L14" s="44" t="str">
        <f t="shared" si="4"/>
        <v/>
      </c>
      <c r="M14" s="150">
        <f t="shared" si="8"/>
        <v>0</v>
      </c>
      <c r="N14" s="44" t="str">
        <f t="shared" si="2"/>
        <v/>
      </c>
      <c r="O14" s="150">
        <f>IF(OR(WEEKDAY(B14)=1,WEEKDAY(B14)=7,B14=Basisgegevens!B$4,B14=Basisgegevens!B$5,B14=Basisgegevens!B$6,B14=Basisgegevens!B$7,B14=Basisgegevens!B$8,B14=Basisgegevens!B$9,B14=Basisgegevens!B$10,B14=Basisgegevens!B$11,B14=Basisgegevens!B$12,B14=Basisgegevens!B$13,B14=Basisgegevens!B$14,B14=Basisgegevens!B$15),0,IF(K14&lt;=(TIME(8,0,0)),K14,(TIME(8,0,0))))</f>
        <v>0</v>
      </c>
      <c r="P14" s="71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0,IF(WEEKDAY(B14)=7,K14,K14-O14))</f>
        <v>0</v>
      </c>
      <c r="Q14" s="72">
        <f>IF(OR(WEEKDAY(B14)=1,B14=Basisgegevens!B$4,B14=Basisgegevens!B$5,B14=Basisgegevens!B$6,B14=Basisgegevens!B$7,B14=Basisgegevens!B$8,B14=Basisgegevens!B$9,B14=Basisgegevens!B$10,B14=Basisgegevens!B$11,B14=Basisgegevens!B$12,B14=Basisgegevens!B$13,B14=Basisgegevens!B$14,B14=Basisgegevens!B$15),K14,0)</f>
        <v>0</v>
      </c>
      <c r="R14" s="227"/>
      <c r="S14" s="227"/>
      <c r="T14" s="41"/>
      <c r="U14" s="100"/>
      <c r="V14" s="136" t="str">
        <f>IF(OR(B14=Basisgegevens!$B$4,B14=Basisgegevens!$B$5,B14=Basisgegevens!$B$6,B14=Basisgegevens!$B$7,B14=Basisgegevens!$B$8,B14=Basisgegevens!$B$9,B14=Basisgegevens!$B$10,B14=Basisgegevens!$B$11,B14=Basisgegevens!$B$12,B14=Basisgegevens!$B$13,B14=Basisgegevens!$B$14,B14=Basisgegevens!$B$15),"FD","")</f>
        <v/>
      </c>
      <c r="W14" s="220">
        <f t="shared" si="5"/>
        <v>50</v>
      </c>
      <c r="X14" s="31" t="str">
        <f>IF($D14="","",IF($B14&lt;Basisgegevens!$H$4,((((DAY($O14))*24)+(HOUR($O14))+((MINUTE($O14))/60))*Basisgegevens!$I$3)+((((DAY($P14))*24)+(HOUR($P14))+((MINUTE($P14))/60))*Basisgegevens!$I$3*1.5)+((((DAY($Q14))*24)+(HOUR($Q14))+((MINUTE($Q14))/60))*Basisgegevens!$I$3*2)+Basisgegevens!$J$3,IF(Jan!$B14&lt;Basisgegevens!$H$5,((((DAY($O14))*24)+(HOUR($O14))+((MINUTE($O14))/60))*Basisgegevens!$I$4)+((((DAY($P14))*24)+(HOUR($P14))+((MINUTE($P14))/60))*Basisgegevens!$I$4*1.5)+((((DAY($Q14))*24)+(HOUR($Q14))+((MINUTE($Q14))/60))*Basisgegevens!$I$4*2)+Basisgegevens!$J$4,((((DAY($O14))*24)+(HOUR($O14))+((MINUTE($O14))/60))*Basisgegevens!$I$5)+((((DAY($P14))*24)+(HOUR($P14))+((MINUTE($P14))/60))*Basisgegevens!$I$5*1.5)+((((DAY($Q14))*24)+(HOUR($Q14))+((MINUTE($Q14))/60))*Basisgegevens!$I$5*2)+Basisgegevens!$J$5)))</f>
        <v/>
      </c>
      <c r="Y14" s="31" t="str">
        <f>IF($D14="","",IF($B14&lt;Basisgegevens!$H$4,((((DAY($O14))*24)+(HOUR($O14))+((MINUTE($O14))/60))*Basisgegevens!$K$3)+((((DAY($P14))*24)+(HOUR($P14))+((MINUTE($P14))/60))*Basisgegevens!$K$3*1.5)+((((DAY($Q14))*24)+(HOUR($Q14))+((MINUTE($Q14))/60))*Basisgegevens!$K$3*2)+Basisgegevens!$L$3,IF(Jan!$B14&lt;Basisgegevens!$H$5,((((DAY($O14))*24)+(HOUR($O14))+((MINUTE($O14))/60))*Basisgegevens!$K$4)+((((DAY($P14))*24)+(HOUR($P14))+((MINUTE($P14))/60))*Basisgegevens!$K$4*1.5)+((((DAY($Q14))*24)+(HOUR($Q14))+((MINUTE($Q14))/60))*Basisgegevens!$K$4*2)+Basisgegevens!$L$4,((((DAY($O14))*24)+(HOUR($O14))+((MINUTE($O14))/60))*Basisgegevens!$K$5)+((((DAY($P14))*24)+(HOUR($P14))+((MINUTE($P14))/60))*Basisgegevens!$K$5*1.5)+((((DAY($Q14))*24)+(HOUR($Q14))+((MINUTE($Q14))/60))*Basisgegevens!$K$5*2)+Basisgegevens!$L$5)))</f>
        <v/>
      </c>
      <c r="Z14" s="62">
        <f t="shared" si="14"/>
        <v>51</v>
      </c>
      <c r="AA14" s="208">
        <f t="shared" si="15"/>
        <v>0</v>
      </c>
      <c r="AB14" s="208">
        <f t="shared" si="15"/>
        <v>0</v>
      </c>
      <c r="AC14" s="204">
        <f t="shared" si="15"/>
        <v>0</v>
      </c>
      <c r="AE14" s="4">
        <f t="shared" si="6"/>
        <v>0</v>
      </c>
    </row>
    <row r="15" spans="1:31" x14ac:dyDescent="0.25">
      <c r="A15" s="100" t="str">
        <f t="shared" si="0"/>
        <v>Zondag</v>
      </c>
      <c r="B15" s="226">
        <f t="shared" si="7"/>
        <v>46369</v>
      </c>
      <c r="C15" s="149"/>
      <c r="D15" s="149"/>
      <c r="E15" s="149"/>
      <c r="F15" s="149"/>
      <c r="G15" s="149"/>
      <c r="H15" s="79"/>
      <c r="I15" s="149"/>
      <c r="J15" s="188" t="str">
        <f t="shared" si="3"/>
        <v/>
      </c>
      <c r="K15" s="150">
        <f>IF(Basisgegevens!$F$1="JA",IF(D15="",0,(1-D15)+(E15)-G15),(E15-D15)-G15)</f>
        <v>0</v>
      </c>
      <c r="L15" s="44" t="str">
        <f t="shared" si="4"/>
        <v/>
      </c>
      <c r="M15" s="150">
        <f t="shared" si="8"/>
        <v>0</v>
      </c>
      <c r="N15" s="44" t="str">
        <f t="shared" si="2"/>
        <v/>
      </c>
      <c r="O15" s="150">
        <f>IF(OR(WEEKDAY(B15)=1,WEEKDAY(B15)=7,B15=Basisgegevens!B$4,B15=Basisgegevens!B$5,B15=Basisgegevens!B$6,B15=Basisgegevens!B$7,B15=Basisgegevens!B$8,B15=Basisgegevens!B$9,B15=Basisgegevens!B$10,B15=Basisgegevens!B$11,B15=Basisgegevens!B$12,B15=Basisgegevens!B$13,B15=Basisgegevens!B$14,B15=Basisgegevens!B$15),0,IF(K15&lt;=(TIME(8,0,0)),K15,(TIME(8,0,0))))</f>
        <v>0</v>
      </c>
      <c r="P15" s="71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0,IF(WEEKDAY(B15)=7,K15,K15-O15))</f>
        <v>0</v>
      </c>
      <c r="Q15" s="72">
        <f>IF(OR(WEEKDAY(B15)=1,B15=Basisgegevens!B$4,B15=Basisgegevens!B$5,B15=Basisgegevens!B$6,B15=Basisgegevens!B$7,B15=Basisgegevens!B$8,B15=Basisgegevens!B$9,B15=Basisgegevens!B$10,B15=Basisgegevens!B$11,B15=Basisgegevens!B$12,B15=Basisgegevens!B$13,B15=Basisgegevens!B$14,B15=Basisgegevens!B$15),K15,0)</f>
        <v>0</v>
      </c>
      <c r="R15" s="227"/>
      <c r="S15" s="227"/>
      <c r="T15" s="41"/>
      <c r="U15" s="100"/>
      <c r="V15" s="136" t="str">
        <f>IF(OR(B15=Basisgegevens!$B$4,B15=Basisgegevens!$B$5,B15=Basisgegevens!$B$6,B15=Basisgegevens!$B$7,B15=Basisgegevens!$B$8,B15=Basisgegevens!$B$9,B15=Basisgegevens!$B$10,B15=Basisgegevens!$B$11,B15=Basisgegevens!$B$12,B15=Basisgegevens!$B$13,B15=Basisgegevens!$B$14,B15=Basisgegevens!$B$15),"FD","")</f>
        <v/>
      </c>
      <c r="W15" s="220">
        <f t="shared" si="5"/>
        <v>50</v>
      </c>
      <c r="X15" s="31" t="str">
        <f>IF($D15="","",IF($B15&lt;Basisgegevens!$H$4,((((DAY($O15))*24)+(HOUR($O15))+((MINUTE($O15))/60))*Basisgegevens!$I$3)+((((DAY($P15))*24)+(HOUR($P15))+((MINUTE($P15))/60))*Basisgegevens!$I$3*1.5)+((((DAY($Q15))*24)+(HOUR($Q15))+((MINUTE($Q15))/60))*Basisgegevens!$I$3*2)+Basisgegevens!$J$3,IF(Jan!$B15&lt;Basisgegevens!$H$5,((((DAY($O15))*24)+(HOUR($O15))+((MINUTE($O15))/60))*Basisgegevens!$I$4)+((((DAY($P15))*24)+(HOUR($P15))+((MINUTE($P15))/60))*Basisgegevens!$I$4*1.5)+((((DAY($Q15))*24)+(HOUR($Q15))+((MINUTE($Q15))/60))*Basisgegevens!$I$4*2)+Basisgegevens!$J$4,((((DAY($O15))*24)+(HOUR($O15))+((MINUTE($O15))/60))*Basisgegevens!$I$5)+((((DAY($P15))*24)+(HOUR($P15))+((MINUTE($P15))/60))*Basisgegevens!$I$5*1.5)+((((DAY($Q15))*24)+(HOUR($Q15))+((MINUTE($Q15))/60))*Basisgegevens!$I$5*2)+Basisgegevens!$J$5)))</f>
        <v/>
      </c>
      <c r="Y15" s="31" t="str">
        <f>IF($D15="","",IF($B15&lt;Basisgegevens!$H$4,((((DAY($O15))*24)+(HOUR($O15))+((MINUTE($O15))/60))*Basisgegevens!$K$3)+((((DAY($P15))*24)+(HOUR($P15))+((MINUTE($P15))/60))*Basisgegevens!$K$3*1.5)+((((DAY($Q15))*24)+(HOUR($Q15))+((MINUTE($Q15))/60))*Basisgegevens!$K$3*2)+Basisgegevens!$L$3,IF(Jan!$B15&lt;Basisgegevens!$H$5,((((DAY($O15))*24)+(HOUR($O15))+((MINUTE($O15))/60))*Basisgegevens!$K$4)+((((DAY($P15))*24)+(HOUR($P15))+((MINUTE($P15))/60))*Basisgegevens!$K$4*1.5)+((((DAY($Q15))*24)+(HOUR($Q15))+((MINUTE($Q15))/60))*Basisgegevens!$K$4*2)+Basisgegevens!$L$4,((((DAY($O15))*24)+(HOUR($O15))+((MINUTE($O15))/60))*Basisgegevens!$K$5)+((((DAY($P15))*24)+(HOUR($P15))+((MINUTE($P15))/60))*Basisgegevens!$K$5*1.5)+((((DAY($Q15))*24)+(HOUR($Q15))+((MINUTE($Q15))/60))*Basisgegevens!$K$5*2)+Basisgegevens!$L$5)))</f>
        <v/>
      </c>
      <c r="Z15" s="62">
        <f t="shared" si="14"/>
        <v>52</v>
      </c>
      <c r="AA15" s="208">
        <f t="shared" si="15"/>
        <v>0</v>
      </c>
      <c r="AB15" s="208">
        <f t="shared" si="15"/>
        <v>0</v>
      </c>
      <c r="AC15" s="204">
        <f t="shared" si="15"/>
        <v>0</v>
      </c>
      <c r="AD15" s="151"/>
      <c r="AE15" s="4">
        <f t="shared" si="6"/>
        <v>0</v>
      </c>
    </row>
    <row r="16" spans="1:31" x14ac:dyDescent="0.25">
      <c r="A16" s="100" t="str">
        <f t="shared" si="0"/>
        <v>Maandag</v>
      </c>
      <c r="B16" s="226">
        <f t="shared" si="7"/>
        <v>46370</v>
      </c>
      <c r="C16" s="149"/>
      <c r="D16" s="149"/>
      <c r="E16" s="149"/>
      <c r="F16" s="149"/>
      <c r="G16" s="149"/>
      <c r="H16" s="79"/>
      <c r="I16" s="149"/>
      <c r="J16" s="188" t="str">
        <f t="shared" si="3"/>
        <v/>
      </c>
      <c r="K16" s="150">
        <f>IF(Basisgegevens!$F$1="JA",IF(D16="",0,(1-D16)+(E16)-G16),(E16-D16)-G16)</f>
        <v>0</v>
      </c>
      <c r="L16" s="44" t="str">
        <f t="shared" si="4"/>
        <v/>
      </c>
      <c r="M16" s="150">
        <f t="shared" si="8"/>
        <v>0</v>
      </c>
      <c r="N16" s="44" t="str">
        <f t="shared" si="2"/>
        <v/>
      </c>
      <c r="O16" s="150">
        <f>IF(OR(WEEKDAY(B16)=1,WEEKDAY(B16)=7,B16=Basisgegevens!B$4,B16=Basisgegevens!B$5,B16=Basisgegevens!B$6,B16=Basisgegevens!B$7,B16=Basisgegevens!B$8,B16=Basisgegevens!B$9,B16=Basisgegevens!B$10,B16=Basisgegevens!B$11,B16=Basisgegevens!B$12,B16=Basisgegevens!B$13,B16=Basisgegevens!B$14,B16=Basisgegevens!B$15),0,IF(K16&lt;=(TIME(8,0,0)),K16,(TIME(8,0,0))))</f>
        <v>0</v>
      </c>
      <c r="P16" s="71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0,IF(WEEKDAY(B16)=7,K16,K16-O16))</f>
        <v>0</v>
      </c>
      <c r="Q16" s="72">
        <f>IF(OR(WEEKDAY(B16)=1,B16=Basisgegevens!B$4,B16=Basisgegevens!B$5,B16=Basisgegevens!B$6,B16=Basisgegevens!B$7,B16=Basisgegevens!B$8,B16=Basisgegevens!B$9,B16=Basisgegevens!B$10,B16=Basisgegevens!B$11,B16=Basisgegevens!B$12,B16=Basisgegevens!B$13,B16=Basisgegevens!B$14,B16=Basisgegevens!B$15),K16,0)</f>
        <v>0</v>
      </c>
      <c r="R16" s="227"/>
      <c r="S16" s="227"/>
      <c r="T16" s="41"/>
      <c r="U16" s="100"/>
      <c r="V16" s="136" t="str">
        <f>IF(OR(B16=Basisgegevens!$B$4,B16=Basisgegevens!$B$5,B16=Basisgegevens!$B$6,B16=Basisgegevens!$B$7,B16=Basisgegevens!$B$8,B16=Basisgegevens!$B$9,B16=Basisgegevens!$B$10,B16=Basisgegevens!$B$11,B16=Basisgegevens!$B$12,B16=Basisgegevens!$B$13,B16=Basisgegevens!$B$14,B16=Basisgegevens!$B$15),"FD","")</f>
        <v/>
      </c>
      <c r="W16" s="220">
        <f t="shared" si="5"/>
        <v>51</v>
      </c>
      <c r="X16" s="31" t="str">
        <f>IF($D16="","",IF($B16&lt;Basisgegevens!$H$4,((((DAY($O16))*24)+(HOUR($O16))+((MINUTE($O16))/60))*Basisgegevens!$I$3)+((((DAY($P16))*24)+(HOUR($P16))+((MINUTE($P16))/60))*Basisgegevens!$I$3*1.5)+((((DAY($Q16))*24)+(HOUR($Q16))+((MINUTE($Q16))/60))*Basisgegevens!$I$3*2)+Basisgegevens!$J$3,IF(Jan!$B16&lt;Basisgegevens!$H$5,((((DAY($O16))*24)+(HOUR($O16))+((MINUTE($O16))/60))*Basisgegevens!$I$4)+((((DAY($P16))*24)+(HOUR($P16))+((MINUTE($P16))/60))*Basisgegevens!$I$4*1.5)+((((DAY($Q16))*24)+(HOUR($Q16))+((MINUTE($Q16))/60))*Basisgegevens!$I$4*2)+Basisgegevens!$J$4,((((DAY($O16))*24)+(HOUR($O16))+((MINUTE($O16))/60))*Basisgegevens!$I$5)+((((DAY($P16))*24)+(HOUR($P16))+((MINUTE($P16))/60))*Basisgegevens!$I$5*1.5)+((((DAY($Q16))*24)+(HOUR($Q16))+((MINUTE($Q16))/60))*Basisgegevens!$I$5*2)+Basisgegevens!$J$5)))</f>
        <v/>
      </c>
      <c r="Y16" s="31" t="str">
        <f>IF($D16="","",IF($B16&lt;Basisgegevens!$H$4,((((DAY($O16))*24)+(HOUR($O16))+((MINUTE($O16))/60))*Basisgegevens!$K$3)+((((DAY($P16))*24)+(HOUR($P16))+((MINUTE($P16))/60))*Basisgegevens!$K$3*1.5)+((((DAY($Q16))*24)+(HOUR($Q16))+((MINUTE($Q16))/60))*Basisgegevens!$K$3*2)+Basisgegevens!$L$3,IF(Jan!$B16&lt;Basisgegevens!$H$5,((((DAY($O16))*24)+(HOUR($O16))+((MINUTE($O16))/60))*Basisgegevens!$K$4)+((((DAY($P16))*24)+(HOUR($P16))+((MINUTE($P16))/60))*Basisgegevens!$K$4*1.5)+((((DAY($Q16))*24)+(HOUR($Q16))+((MINUTE($Q16))/60))*Basisgegevens!$K$4*2)+Basisgegevens!$L$4,((((DAY($O16))*24)+(HOUR($O16))+((MINUTE($O16))/60))*Basisgegevens!$K$5)+((((DAY($P16))*24)+(HOUR($P16))+((MINUTE($P16))/60))*Basisgegevens!$K$5*1.5)+((((DAY($Q16))*24)+(HOUR($Q16))+((MINUTE($Q16))/60))*Basisgegevens!$K$5*2)+Basisgegevens!$L$5)))</f>
        <v/>
      </c>
      <c r="Z16" s="62">
        <f t="shared" si="14"/>
        <v>53</v>
      </c>
      <c r="AA16" s="208">
        <f t="shared" si="15"/>
        <v>0</v>
      </c>
      <c r="AB16" s="208">
        <f t="shared" si="15"/>
        <v>0</v>
      </c>
      <c r="AC16" s="204">
        <f t="shared" si="15"/>
        <v>0</v>
      </c>
      <c r="AD16" s="151"/>
      <c r="AE16" s="4">
        <f t="shared" si="6"/>
        <v>0</v>
      </c>
    </row>
    <row r="17" spans="1:31" ht="16.5" thickBot="1" x14ac:dyDescent="0.3">
      <c r="A17" s="100" t="str">
        <f t="shared" si="0"/>
        <v>Dinsdag</v>
      </c>
      <c r="B17" s="226">
        <f t="shared" si="7"/>
        <v>46371</v>
      </c>
      <c r="C17" s="149"/>
      <c r="D17" s="149"/>
      <c r="E17" s="149"/>
      <c r="F17" s="149"/>
      <c r="G17" s="149"/>
      <c r="H17" s="79"/>
      <c r="I17" s="149"/>
      <c r="J17" s="188" t="str">
        <f t="shared" si="3"/>
        <v/>
      </c>
      <c r="K17" s="150">
        <f>IF(Basisgegevens!$F$1="JA",IF(D17="",0,(1-D17)+(E17)-G17),(E17-D17)-G17)</f>
        <v>0</v>
      </c>
      <c r="L17" s="44" t="str">
        <f t="shared" si="4"/>
        <v/>
      </c>
      <c r="M17" s="150">
        <f t="shared" si="8"/>
        <v>0</v>
      </c>
      <c r="N17" s="44" t="str">
        <f t="shared" si="2"/>
        <v/>
      </c>
      <c r="O17" s="150">
        <f>IF(OR(WEEKDAY(B17)=1,WEEKDAY(B17)=7,B17=Basisgegevens!B$4,B17=Basisgegevens!B$5,B17=Basisgegevens!B$6,B17=Basisgegevens!B$7,B17=Basisgegevens!B$8,B17=Basisgegevens!B$9,B17=Basisgegevens!B$10,B17=Basisgegevens!B$11,B17=Basisgegevens!B$12,B17=Basisgegevens!B$13,B17=Basisgegevens!B$14,B17=Basisgegevens!B$15),0,IF(K17&lt;=(TIME(8,0,0)),K17,(TIME(8,0,0))))</f>
        <v>0</v>
      </c>
      <c r="P17" s="71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0,IF(WEEKDAY(B17)=7,K17,K17-O17))</f>
        <v>0</v>
      </c>
      <c r="Q17" s="72">
        <f>IF(OR(WEEKDAY(B17)=1,B17=Basisgegevens!B$4,B17=Basisgegevens!B$5,B17=Basisgegevens!B$6,B17=Basisgegevens!B$7,B17=Basisgegevens!B$8,B17=Basisgegevens!B$9,B17=Basisgegevens!B$10,B17=Basisgegevens!B$11,B17=Basisgegevens!B$12,B17=Basisgegevens!B$13,B17=Basisgegevens!B$14,B17=Basisgegevens!B$15),K17,0)</f>
        <v>0</v>
      </c>
      <c r="R17" s="227"/>
      <c r="S17" s="227"/>
      <c r="T17" s="41"/>
      <c r="U17" s="100"/>
      <c r="V17" s="136" t="str">
        <f>IF(OR(B17=Basisgegevens!$B$4,B17=Basisgegevens!$B$5,B17=Basisgegevens!$B$6,B17=Basisgegevens!$B$7,B17=Basisgegevens!$B$8,B17=Basisgegevens!$B$9,B17=Basisgegevens!$B$10,B17=Basisgegevens!$B$11,B17=Basisgegevens!$B$12,B17=Basisgegevens!$B$13,B17=Basisgegevens!$B$14,B17=Basisgegevens!$B$15),"FD","")</f>
        <v/>
      </c>
      <c r="W17" s="220">
        <f t="shared" si="5"/>
        <v>51</v>
      </c>
      <c r="X17" s="31" t="str">
        <f>IF($D17="","",IF($B17&lt;Basisgegevens!$H$4,((((DAY($O17))*24)+(HOUR($O17))+((MINUTE($O17))/60))*Basisgegevens!$I$3)+((((DAY($P17))*24)+(HOUR($P17))+((MINUTE($P17))/60))*Basisgegevens!$I$3*1.5)+((((DAY($Q17))*24)+(HOUR($Q17))+((MINUTE($Q17))/60))*Basisgegevens!$I$3*2)+Basisgegevens!$J$3,IF(Jan!$B17&lt;Basisgegevens!$H$5,((((DAY($O17))*24)+(HOUR($O17))+((MINUTE($O17))/60))*Basisgegevens!$I$4)+((((DAY($P17))*24)+(HOUR($P17))+((MINUTE($P17))/60))*Basisgegevens!$I$4*1.5)+((((DAY($Q17))*24)+(HOUR($Q17))+((MINUTE($Q17))/60))*Basisgegevens!$I$4*2)+Basisgegevens!$J$4,((((DAY($O17))*24)+(HOUR($O17))+((MINUTE($O17))/60))*Basisgegevens!$I$5)+((((DAY($P17))*24)+(HOUR($P17))+((MINUTE($P17))/60))*Basisgegevens!$I$5*1.5)+((((DAY($Q17))*24)+(HOUR($Q17))+((MINUTE($Q17))/60))*Basisgegevens!$I$5*2)+Basisgegevens!$J$5)))</f>
        <v/>
      </c>
      <c r="Y17" s="31" t="str">
        <f>IF($D17="","",IF($B17&lt;Basisgegevens!$H$4,((((DAY($O17))*24)+(HOUR($O17))+((MINUTE($O17))/60))*Basisgegevens!$K$3)+((((DAY($P17))*24)+(HOUR($P17))+((MINUTE($P17))/60))*Basisgegevens!$K$3*1.5)+((((DAY($Q17))*24)+(HOUR($Q17))+((MINUTE($Q17))/60))*Basisgegevens!$K$3*2)+Basisgegevens!$L$3,IF(Jan!$B17&lt;Basisgegevens!$H$5,((((DAY($O17))*24)+(HOUR($O17))+((MINUTE($O17))/60))*Basisgegevens!$K$4)+((((DAY($P17))*24)+(HOUR($P17))+((MINUTE($P17))/60))*Basisgegevens!$K$4*1.5)+((((DAY($Q17))*24)+(HOUR($Q17))+((MINUTE($Q17))/60))*Basisgegevens!$K$4*2)+Basisgegevens!$L$4,((((DAY($O17))*24)+(HOUR($O17))+((MINUTE($O17))/60))*Basisgegevens!$K$5)+((((DAY($P17))*24)+(HOUR($P17))+((MINUTE($P17))/60))*Basisgegevens!$K$5*1.5)+((((DAY($Q17))*24)+(HOUR($Q17))+((MINUTE($Q17))/60))*Basisgegevens!$K$5*2)+Basisgegevens!$L$5)))</f>
        <v/>
      </c>
      <c r="Z17" s="63" t="str">
        <f t="shared" si="14"/>
        <v/>
      </c>
      <c r="AA17" s="209" t="str">
        <f t="shared" si="15"/>
        <v/>
      </c>
      <c r="AB17" s="209" t="str">
        <f t="shared" si="15"/>
        <v/>
      </c>
      <c r="AC17" s="205" t="str">
        <f t="shared" si="15"/>
        <v/>
      </c>
      <c r="AE17" s="4">
        <f t="shared" si="6"/>
        <v>0</v>
      </c>
    </row>
    <row r="18" spans="1:31" x14ac:dyDescent="0.25">
      <c r="A18" s="100" t="str">
        <f t="shared" si="0"/>
        <v>Woensdag</v>
      </c>
      <c r="B18" s="226">
        <f t="shared" si="7"/>
        <v>46372</v>
      </c>
      <c r="C18" s="149"/>
      <c r="D18" s="149"/>
      <c r="E18" s="149"/>
      <c r="F18" s="149"/>
      <c r="G18" s="149"/>
      <c r="H18" s="79"/>
      <c r="I18" s="149"/>
      <c r="J18" s="188" t="str">
        <f t="shared" si="3"/>
        <v/>
      </c>
      <c r="K18" s="150">
        <f>IF(Basisgegevens!$F$1="JA",IF(D18="",0,(1-D18)+(E18)-G18),(E18-D18)-G18)</f>
        <v>0</v>
      </c>
      <c r="L18" s="44" t="str">
        <f t="shared" si="4"/>
        <v/>
      </c>
      <c r="M18" s="150">
        <f t="shared" si="8"/>
        <v>0</v>
      </c>
      <c r="N18" s="44" t="str">
        <f t="shared" si="2"/>
        <v/>
      </c>
      <c r="O18" s="150">
        <f>IF(OR(WEEKDAY(B18)=1,WEEKDAY(B18)=7,B18=Basisgegevens!B$4,B18=Basisgegevens!B$5,B18=Basisgegevens!B$6,B18=Basisgegevens!B$7,B18=Basisgegevens!B$8,B18=Basisgegevens!B$9,B18=Basisgegevens!B$10,B18=Basisgegevens!B$11,B18=Basisgegevens!B$12,B18=Basisgegevens!B$13,B18=Basisgegevens!B$14,B18=Basisgegevens!B$15),0,IF(K18&lt;=(TIME(8,0,0)),K18,(TIME(8,0,0))))</f>
        <v>0</v>
      </c>
      <c r="P18" s="71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0,IF(WEEKDAY(B18)=7,K18,K18-O18))</f>
        <v>0</v>
      </c>
      <c r="Q18" s="72">
        <f>IF(OR(WEEKDAY(B18)=1,B18=Basisgegevens!B$4,B18=Basisgegevens!B$5,B18=Basisgegevens!B$6,B18=Basisgegevens!B$7,B18=Basisgegevens!B$8,B18=Basisgegevens!B$9,B18=Basisgegevens!B$10,B18=Basisgegevens!B$11,B18=Basisgegevens!B$12,B18=Basisgegevens!B$13,B18=Basisgegevens!B$14,B18=Basisgegevens!B$15),K18,0)</f>
        <v>0</v>
      </c>
      <c r="R18" s="227"/>
      <c r="S18" s="227"/>
      <c r="T18" s="41"/>
      <c r="U18" s="100"/>
      <c r="V18" s="136" t="str">
        <f>IF(OR(B18=Basisgegevens!$B$4,B18=Basisgegevens!$B$5,B18=Basisgegevens!$B$6,B18=Basisgegevens!$B$7,B18=Basisgegevens!$B$8,B18=Basisgegevens!$B$9,B18=Basisgegevens!$B$10,B18=Basisgegevens!$B$11,B18=Basisgegevens!$B$12,B18=Basisgegevens!$B$13,B18=Basisgegevens!$B$14,B18=Basisgegevens!$B$15),"FD","")</f>
        <v/>
      </c>
      <c r="W18" s="220">
        <f t="shared" si="5"/>
        <v>51</v>
      </c>
      <c r="X18" s="31" t="str">
        <f>IF($D18="","",IF($B18&lt;Basisgegevens!$H$4,((((DAY($O18))*24)+(HOUR($O18))+((MINUTE($O18))/60))*Basisgegevens!$I$3)+((((DAY($P18))*24)+(HOUR($P18))+((MINUTE($P18))/60))*Basisgegevens!$I$3*1.5)+((((DAY($Q18))*24)+(HOUR($Q18))+((MINUTE($Q18))/60))*Basisgegevens!$I$3*2)+Basisgegevens!$J$3,IF(Jan!$B18&lt;Basisgegevens!$H$5,((((DAY($O18))*24)+(HOUR($O18))+((MINUTE($O18))/60))*Basisgegevens!$I$4)+((((DAY($P18))*24)+(HOUR($P18))+((MINUTE($P18))/60))*Basisgegevens!$I$4*1.5)+((((DAY($Q18))*24)+(HOUR($Q18))+((MINUTE($Q18))/60))*Basisgegevens!$I$4*2)+Basisgegevens!$J$4,((((DAY($O18))*24)+(HOUR($O18))+((MINUTE($O18))/60))*Basisgegevens!$I$5)+((((DAY($P18))*24)+(HOUR($P18))+((MINUTE($P18))/60))*Basisgegevens!$I$5*1.5)+((((DAY($Q18))*24)+(HOUR($Q18))+((MINUTE($Q18))/60))*Basisgegevens!$I$5*2)+Basisgegevens!$J$5)))</f>
        <v/>
      </c>
      <c r="Y18" s="31" t="str">
        <f>IF($D18="","",IF($B18&lt;Basisgegevens!$H$4,((((DAY($O18))*24)+(HOUR($O18))+((MINUTE($O18))/60))*Basisgegevens!$K$3)+((((DAY($P18))*24)+(HOUR($P18))+((MINUTE($P18))/60))*Basisgegevens!$K$3*1.5)+((((DAY($Q18))*24)+(HOUR($Q18))+((MINUTE($Q18))/60))*Basisgegevens!$K$3*2)+Basisgegevens!$L$3,IF(Jan!$B18&lt;Basisgegevens!$H$5,((((DAY($O18))*24)+(HOUR($O18))+((MINUTE($O18))/60))*Basisgegevens!$K$4)+((((DAY($P18))*24)+(HOUR($P18))+((MINUTE($P18))/60))*Basisgegevens!$K$4*1.5)+((((DAY($Q18))*24)+(HOUR($Q18))+((MINUTE($Q18))/60))*Basisgegevens!$K$4*2)+Basisgegevens!$L$4,((((DAY($O18))*24)+(HOUR($O18))+((MINUTE($O18))/60))*Basisgegevens!$K$5)+((((DAY($P18))*24)+(HOUR($P18))+((MINUTE($P18))/60))*Basisgegevens!$K$5*1.5)+((((DAY($Q18))*24)+(HOUR($Q18))+((MINUTE($Q18))/60))*Basisgegevens!$K$5*2)+Basisgegevens!$L$5)))</f>
        <v/>
      </c>
      <c r="Z18" s="308"/>
      <c r="AA18" s="308"/>
      <c r="AB18" s="308"/>
      <c r="AC18" s="308"/>
      <c r="AE18" s="4">
        <f t="shared" si="6"/>
        <v>0</v>
      </c>
    </row>
    <row r="19" spans="1:31" x14ac:dyDescent="0.25">
      <c r="A19" s="100" t="str">
        <f t="shared" si="0"/>
        <v>Donderdag</v>
      </c>
      <c r="B19" s="226">
        <f t="shared" si="7"/>
        <v>46373</v>
      </c>
      <c r="C19" s="149"/>
      <c r="D19" s="149"/>
      <c r="E19" s="149"/>
      <c r="F19" s="149"/>
      <c r="G19" s="149"/>
      <c r="H19" s="79"/>
      <c r="I19" s="149"/>
      <c r="J19" s="188" t="str">
        <f t="shared" si="3"/>
        <v/>
      </c>
      <c r="K19" s="150">
        <f>IF(Basisgegevens!$F$1="JA",IF(D19="",0,(1-D19)+(E19)-G19),(E19-D19)-G19)</f>
        <v>0</v>
      </c>
      <c r="L19" s="44" t="str">
        <f t="shared" si="4"/>
        <v/>
      </c>
      <c r="M19" s="150">
        <f t="shared" si="8"/>
        <v>0</v>
      </c>
      <c r="N19" s="44" t="str">
        <f t="shared" si="2"/>
        <v/>
      </c>
      <c r="O19" s="150">
        <f>IF(OR(WEEKDAY(B19)=1,WEEKDAY(B19)=7,B19=Basisgegevens!B$4,B19=Basisgegevens!B$5,B19=Basisgegevens!B$6,B19=Basisgegevens!B$7,B19=Basisgegevens!B$8,B19=Basisgegevens!B$9,B19=Basisgegevens!B$10,B19=Basisgegevens!B$11,B19=Basisgegevens!B$12,B19=Basisgegevens!B$13,B19=Basisgegevens!B$14,B19=Basisgegevens!B$15),0,IF(K19&lt;=(TIME(8,0,0)),K19,(TIME(8,0,0))))</f>
        <v>0</v>
      </c>
      <c r="P19" s="71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0,IF(WEEKDAY(B19)=7,K19,K19-O19))</f>
        <v>0</v>
      </c>
      <c r="Q19" s="72">
        <f>IF(OR(WEEKDAY(B19)=1,B19=Basisgegevens!B$4,B19=Basisgegevens!B$5,B19=Basisgegevens!B$6,B19=Basisgegevens!B$7,B19=Basisgegevens!B$8,B19=Basisgegevens!B$9,B19=Basisgegevens!B$10,B19=Basisgegevens!B$11,B19=Basisgegevens!B$12,B19=Basisgegevens!B$13,B19=Basisgegevens!B$14,B19=Basisgegevens!B$15),K19,0)</f>
        <v>0</v>
      </c>
      <c r="R19" s="227"/>
      <c r="S19" s="227"/>
      <c r="T19" s="41"/>
      <c r="U19" s="41"/>
      <c r="V19" s="136" t="str">
        <f>IF(OR(B19=Basisgegevens!$B$4,B19=Basisgegevens!$B$5,B19=Basisgegevens!$B$6,B19=Basisgegevens!$B$7,B19=Basisgegevens!$B$8,B19=Basisgegevens!$B$9,B19=Basisgegevens!$B$10,B19=Basisgegevens!$B$11,B19=Basisgegevens!$B$12,B19=Basisgegevens!$B$13,B19=Basisgegevens!$B$14,B19=Basisgegevens!$B$15),"FD","")</f>
        <v/>
      </c>
      <c r="W19" s="220">
        <f t="shared" si="5"/>
        <v>51</v>
      </c>
      <c r="X19" s="31" t="str">
        <f>IF($D19="","",IF($B19&lt;Basisgegevens!$H$4,((((DAY($O19))*24)+(HOUR($O19))+((MINUTE($O19))/60))*Basisgegevens!$I$3)+((((DAY($P19))*24)+(HOUR($P19))+((MINUTE($P19))/60))*Basisgegevens!$I$3*1.5)+((((DAY($Q19))*24)+(HOUR($Q19))+((MINUTE($Q19))/60))*Basisgegevens!$I$3*2)+Basisgegevens!$J$3,IF(Jan!$B19&lt;Basisgegevens!$H$5,((((DAY($O19))*24)+(HOUR($O19))+((MINUTE($O19))/60))*Basisgegevens!$I$4)+((((DAY($P19))*24)+(HOUR($P19))+((MINUTE($P19))/60))*Basisgegevens!$I$4*1.5)+((((DAY($Q19))*24)+(HOUR($Q19))+((MINUTE($Q19))/60))*Basisgegevens!$I$4*2)+Basisgegevens!$J$4,((((DAY($O19))*24)+(HOUR($O19))+((MINUTE($O19))/60))*Basisgegevens!$I$5)+((((DAY($P19))*24)+(HOUR($P19))+((MINUTE($P19))/60))*Basisgegevens!$I$5*1.5)+((((DAY($Q19))*24)+(HOUR($Q19))+((MINUTE($Q19))/60))*Basisgegevens!$I$5*2)+Basisgegevens!$J$5)))</f>
        <v/>
      </c>
      <c r="Y19" s="31" t="str">
        <f>IF($D19="","",IF($B19&lt;Basisgegevens!$H$4,((((DAY($O19))*24)+(HOUR($O19))+((MINUTE($O19))/60))*Basisgegevens!$K$3)+((((DAY($P19))*24)+(HOUR($P19))+((MINUTE($P19))/60))*Basisgegevens!$K$3*1.5)+((((DAY($Q19))*24)+(HOUR($Q19))+((MINUTE($Q19))/60))*Basisgegevens!$K$3*2)+Basisgegevens!$L$3,IF(Jan!$B19&lt;Basisgegevens!$H$5,((((DAY($O19))*24)+(HOUR($O19))+((MINUTE($O19))/60))*Basisgegevens!$K$4)+((((DAY($P19))*24)+(HOUR($P19))+((MINUTE($P19))/60))*Basisgegevens!$K$4*1.5)+((((DAY($Q19))*24)+(HOUR($Q19))+((MINUTE($Q19))/60))*Basisgegevens!$K$4*2)+Basisgegevens!$L$4,((((DAY($O19))*24)+(HOUR($O19))+((MINUTE($O19))/60))*Basisgegevens!$K$5)+((((DAY($P19))*24)+(HOUR($P19))+((MINUTE($P19))/60))*Basisgegevens!$K$5*1.5)+((((DAY($Q19))*24)+(HOUR($Q19))+((MINUTE($Q19))/60))*Basisgegevens!$K$5*2)+Basisgegevens!$L$5)))</f>
        <v/>
      </c>
      <c r="Z19" s="309"/>
      <c r="AA19" s="309"/>
      <c r="AB19" s="309"/>
      <c r="AC19" s="309"/>
      <c r="AE19" s="4">
        <f t="shared" si="6"/>
        <v>0</v>
      </c>
    </row>
    <row r="20" spans="1:31" x14ac:dyDescent="0.25">
      <c r="A20" s="100" t="str">
        <f t="shared" si="0"/>
        <v>Vrijdag</v>
      </c>
      <c r="B20" s="226">
        <f t="shared" si="7"/>
        <v>46374</v>
      </c>
      <c r="C20" s="149"/>
      <c r="D20" s="149"/>
      <c r="E20" s="149"/>
      <c r="F20" s="149"/>
      <c r="G20" s="149"/>
      <c r="H20" s="79"/>
      <c r="I20" s="149"/>
      <c r="J20" s="188" t="str">
        <f t="shared" si="3"/>
        <v/>
      </c>
      <c r="K20" s="150">
        <f>IF(Basisgegevens!$F$1="JA",IF(D20="",0,(1-D20)+(E20)-G20),(E20-D20)-G20)</f>
        <v>0</v>
      </c>
      <c r="L20" s="44" t="str">
        <f t="shared" si="4"/>
        <v/>
      </c>
      <c r="M20" s="150">
        <f t="shared" si="8"/>
        <v>0</v>
      </c>
      <c r="N20" s="44" t="str">
        <f t="shared" si="2"/>
        <v/>
      </c>
      <c r="O20" s="150">
        <f>IF(OR(WEEKDAY(B20)=1,WEEKDAY(B20)=7,B20=Basisgegevens!B$4,B20=Basisgegevens!B$5,B20=Basisgegevens!B$6,B20=Basisgegevens!B$7,B20=Basisgegevens!B$8,B20=Basisgegevens!B$9,B20=Basisgegevens!B$10,B20=Basisgegevens!B$11,B20=Basisgegevens!B$12,B20=Basisgegevens!B$13,B20=Basisgegevens!B$14,B20=Basisgegevens!B$15),0,IF(K20&lt;=(TIME(8,0,0)),K20,(TIME(8,0,0))))</f>
        <v>0</v>
      </c>
      <c r="P20" s="71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0,IF(WEEKDAY(B20)=7,K20,K20-O20))</f>
        <v>0</v>
      </c>
      <c r="Q20" s="72">
        <f>IF(OR(WEEKDAY(B20)=1,B20=Basisgegevens!B$4,B20=Basisgegevens!B$5,B20=Basisgegevens!B$6,B20=Basisgegevens!B$7,B20=Basisgegevens!B$8,B20=Basisgegevens!B$9,B20=Basisgegevens!B$10,B20=Basisgegevens!B$11,B20=Basisgegevens!B$12,B20=Basisgegevens!B$13,B20=Basisgegevens!B$14,B20=Basisgegevens!B$15),K20,0)</f>
        <v>0</v>
      </c>
      <c r="R20" s="227"/>
      <c r="S20" s="227"/>
      <c r="T20" s="41"/>
      <c r="U20" s="41"/>
      <c r="V20" s="136" t="str">
        <f>IF(OR(B20=Basisgegevens!$B$4,B20=Basisgegevens!$B$5,B20=Basisgegevens!$B$6,B20=Basisgegevens!$B$7,B20=Basisgegevens!$B$8,B20=Basisgegevens!$B$9,B20=Basisgegevens!$B$10,B20=Basisgegevens!$B$11,B20=Basisgegevens!$B$12,B20=Basisgegevens!$B$13,B20=Basisgegevens!$B$14,B20=Basisgegevens!$B$15),"FD","")</f>
        <v/>
      </c>
      <c r="W20" s="220">
        <f t="shared" si="5"/>
        <v>51</v>
      </c>
      <c r="X20" s="31" t="str">
        <f>IF($D20="","",IF($B20&lt;Basisgegevens!$H$4,((((DAY($O20))*24)+(HOUR($O20))+((MINUTE($O20))/60))*Basisgegevens!$I$3)+((((DAY($P20))*24)+(HOUR($P20))+((MINUTE($P20))/60))*Basisgegevens!$I$3*1.5)+((((DAY($Q20))*24)+(HOUR($Q20))+((MINUTE($Q20))/60))*Basisgegevens!$I$3*2)+Basisgegevens!$J$3,IF(Jan!$B20&lt;Basisgegevens!$H$5,((((DAY($O20))*24)+(HOUR($O20))+((MINUTE($O20))/60))*Basisgegevens!$I$4)+((((DAY($P20))*24)+(HOUR($P20))+((MINUTE($P20))/60))*Basisgegevens!$I$4*1.5)+((((DAY($Q20))*24)+(HOUR($Q20))+((MINUTE($Q20))/60))*Basisgegevens!$I$4*2)+Basisgegevens!$J$4,((((DAY($O20))*24)+(HOUR($O20))+((MINUTE($O20))/60))*Basisgegevens!$I$5)+((((DAY($P20))*24)+(HOUR($P20))+((MINUTE($P20))/60))*Basisgegevens!$I$5*1.5)+((((DAY($Q20))*24)+(HOUR($Q20))+((MINUTE($Q20))/60))*Basisgegevens!$I$5*2)+Basisgegevens!$J$5)))</f>
        <v/>
      </c>
      <c r="Y20" s="31" t="str">
        <f>IF($D20="","",IF($B20&lt;Basisgegevens!$H$4,((((DAY($O20))*24)+(HOUR($O20))+((MINUTE($O20))/60))*Basisgegevens!$K$3)+((((DAY($P20))*24)+(HOUR($P20))+((MINUTE($P20))/60))*Basisgegevens!$K$3*1.5)+((((DAY($Q20))*24)+(HOUR($Q20))+((MINUTE($Q20))/60))*Basisgegevens!$K$3*2)+Basisgegevens!$L$3,IF(Jan!$B20&lt;Basisgegevens!$H$5,((((DAY($O20))*24)+(HOUR($O20))+((MINUTE($O20))/60))*Basisgegevens!$K$4)+((((DAY($P20))*24)+(HOUR($P20))+((MINUTE($P20))/60))*Basisgegevens!$K$4*1.5)+((((DAY($Q20))*24)+(HOUR($Q20))+((MINUTE($Q20))/60))*Basisgegevens!$K$4*2)+Basisgegevens!$L$4,((((DAY($O20))*24)+(HOUR($O20))+((MINUTE($O20))/60))*Basisgegevens!$K$5)+((((DAY($P20))*24)+(HOUR($P20))+((MINUTE($P20))/60))*Basisgegevens!$K$5*1.5)+((((DAY($Q20))*24)+(HOUR($Q20))+((MINUTE($Q20))/60))*Basisgegevens!$K$5*2)+Basisgegevens!$L$5)))</f>
        <v/>
      </c>
      <c r="Z20" s="309"/>
      <c r="AA20" s="309"/>
      <c r="AB20" s="309"/>
      <c r="AC20" s="309"/>
      <c r="AE20" s="4">
        <f t="shared" si="6"/>
        <v>0</v>
      </c>
    </row>
    <row r="21" spans="1:31" x14ac:dyDescent="0.25">
      <c r="A21" s="100" t="str">
        <f t="shared" si="0"/>
        <v>Zaterdag</v>
      </c>
      <c r="B21" s="226">
        <f t="shared" si="7"/>
        <v>46375</v>
      </c>
      <c r="C21" s="149"/>
      <c r="D21" s="149"/>
      <c r="E21" s="149"/>
      <c r="F21" s="149"/>
      <c r="G21" s="149"/>
      <c r="H21" s="79"/>
      <c r="I21" s="149"/>
      <c r="J21" s="188" t="str">
        <f t="shared" si="3"/>
        <v/>
      </c>
      <c r="K21" s="150">
        <f>IF(Basisgegevens!$F$1="JA",IF(D21="",0,(1-D21)+(E21)-G21),(E21-D21)-G21)</f>
        <v>0</v>
      </c>
      <c r="L21" s="44" t="str">
        <f t="shared" si="4"/>
        <v/>
      </c>
      <c r="M21" s="150">
        <f t="shared" si="8"/>
        <v>0</v>
      </c>
      <c r="N21" s="44" t="str">
        <f t="shared" si="2"/>
        <v/>
      </c>
      <c r="O21" s="150">
        <f>IF(OR(WEEKDAY(B21)=1,WEEKDAY(B21)=7,B21=Basisgegevens!B$4,B21=Basisgegevens!B$5,B21=Basisgegevens!B$6,B21=Basisgegevens!B$7,B21=Basisgegevens!B$8,B21=Basisgegevens!B$9,B21=Basisgegevens!B$10,B21=Basisgegevens!B$11,B21=Basisgegevens!B$12,B21=Basisgegevens!B$13,B21=Basisgegevens!B$14,B21=Basisgegevens!B$15),0,IF(K21&lt;=(TIME(8,0,0)),K21,(TIME(8,0,0))))</f>
        <v>0</v>
      </c>
      <c r="P21" s="71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0,IF(WEEKDAY(B21)=7,K21,K21-O21))</f>
        <v>0</v>
      </c>
      <c r="Q21" s="72">
        <f>IF(OR(WEEKDAY(B21)=1,B21=Basisgegevens!B$4,B21=Basisgegevens!B$5,B21=Basisgegevens!B$6,B21=Basisgegevens!B$7,B21=Basisgegevens!B$8,B21=Basisgegevens!B$9,B21=Basisgegevens!B$10,B21=Basisgegevens!B$11,B21=Basisgegevens!B$12,B21=Basisgegevens!B$13,B21=Basisgegevens!B$14,B21=Basisgegevens!B$15),K21,0)</f>
        <v>0</v>
      </c>
      <c r="R21" s="227"/>
      <c r="S21" s="227"/>
      <c r="T21" s="41"/>
      <c r="U21" s="100"/>
      <c r="V21" s="136" t="str">
        <f>IF(OR(B21=Basisgegevens!$B$4,B21=Basisgegevens!$B$5,B21=Basisgegevens!$B$6,B21=Basisgegevens!$B$7,B21=Basisgegevens!$B$8,B21=Basisgegevens!$B$9,B21=Basisgegevens!$B$10,B21=Basisgegevens!$B$11,B21=Basisgegevens!$B$12,B21=Basisgegevens!$B$13,B21=Basisgegevens!$B$14,B21=Basisgegevens!$B$15),"FD","")</f>
        <v/>
      </c>
      <c r="W21" s="220">
        <f t="shared" si="5"/>
        <v>51</v>
      </c>
      <c r="X21" s="31" t="str">
        <f>IF($D21="","",IF($B21&lt;Basisgegevens!$H$4,((((DAY($O21))*24)+(HOUR($O21))+((MINUTE($O21))/60))*Basisgegevens!$I$3)+((((DAY($P21))*24)+(HOUR($P21))+((MINUTE($P21))/60))*Basisgegevens!$I$3*1.5)+((((DAY($Q21))*24)+(HOUR($Q21))+((MINUTE($Q21))/60))*Basisgegevens!$I$3*2)+Basisgegevens!$J$3,IF(Jan!$B21&lt;Basisgegevens!$H$5,((((DAY($O21))*24)+(HOUR($O21))+((MINUTE($O21))/60))*Basisgegevens!$I$4)+((((DAY($P21))*24)+(HOUR($P21))+((MINUTE($P21))/60))*Basisgegevens!$I$4*1.5)+((((DAY($Q21))*24)+(HOUR($Q21))+((MINUTE($Q21))/60))*Basisgegevens!$I$4*2)+Basisgegevens!$J$4,((((DAY($O21))*24)+(HOUR($O21))+((MINUTE($O21))/60))*Basisgegevens!$I$5)+((((DAY($P21))*24)+(HOUR($P21))+((MINUTE($P21))/60))*Basisgegevens!$I$5*1.5)+((((DAY($Q21))*24)+(HOUR($Q21))+((MINUTE($Q21))/60))*Basisgegevens!$I$5*2)+Basisgegevens!$J$5)))</f>
        <v/>
      </c>
      <c r="Y21" s="31" t="str">
        <f>IF($D21="","",IF($B21&lt;Basisgegevens!$H$4,((((DAY($O21))*24)+(HOUR($O21))+((MINUTE($O21))/60))*Basisgegevens!$K$3)+((((DAY($P21))*24)+(HOUR($P21))+((MINUTE($P21))/60))*Basisgegevens!$K$3*1.5)+((((DAY($Q21))*24)+(HOUR($Q21))+((MINUTE($Q21))/60))*Basisgegevens!$K$3*2)+Basisgegevens!$L$3,IF(Jan!$B21&lt;Basisgegevens!$H$5,((((DAY($O21))*24)+(HOUR($O21))+((MINUTE($O21))/60))*Basisgegevens!$K$4)+((((DAY($P21))*24)+(HOUR($P21))+((MINUTE($P21))/60))*Basisgegevens!$K$4*1.5)+((((DAY($Q21))*24)+(HOUR($Q21))+((MINUTE($Q21))/60))*Basisgegevens!$K$4*2)+Basisgegevens!$L$4,((((DAY($O21))*24)+(HOUR($O21))+((MINUTE($O21))/60))*Basisgegevens!$K$5)+((((DAY($P21))*24)+(HOUR($P21))+((MINUTE($P21))/60))*Basisgegevens!$K$5*1.5)+((((DAY($Q21))*24)+(HOUR($Q21))+((MINUTE($Q21))/60))*Basisgegevens!$K$5*2)+Basisgegevens!$L$5)))</f>
        <v/>
      </c>
      <c r="Z21" s="309"/>
      <c r="AA21" s="309"/>
      <c r="AB21" s="309"/>
      <c r="AC21" s="309"/>
      <c r="AE21" s="4">
        <f t="shared" si="6"/>
        <v>0</v>
      </c>
    </row>
    <row r="22" spans="1:31" x14ac:dyDescent="0.25">
      <c r="A22" s="100" t="str">
        <f t="shared" si="0"/>
        <v>Zondag</v>
      </c>
      <c r="B22" s="226">
        <f t="shared" si="7"/>
        <v>46376</v>
      </c>
      <c r="C22" s="149"/>
      <c r="D22" s="149"/>
      <c r="E22" s="149"/>
      <c r="F22" s="149"/>
      <c r="G22" s="149"/>
      <c r="H22" s="79"/>
      <c r="I22" s="149"/>
      <c r="J22" s="188" t="str">
        <f t="shared" si="3"/>
        <v/>
      </c>
      <c r="K22" s="150">
        <f>IF(Basisgegevens!$F$1="JA",IF(D22="",0,(1-D22)+(E22)-G22),(E22-D22)-G22)</f>
        <v>0</v>
      </c>
      <c r="L22" s="44" t="str">
        <f t="shared" si="4"/>
        <v/>
      </c>
      <c r="M22" s="150">
        <f t="shared" si="8"/>
        <v>0</v>
      </c>
      <c r="N22" s="44" t="str">
        <f t="shared" si="2"/>
        <v/>
      </c>
      <c r="O22" s="150">
        <f>IF(OR(WEEKDAY(B22)=1,WEEKDAY(B22)=7,B22=Basisgegevens!B$4,B22=Basisgegevens!B$5,B22=Basisgegevens!B$6,B22=Basisgegevens!B$7,B22=Basisgegevens!B$8,B22=Basisgegevens!B$9,B22=Basisgegevens!B$10,B22=Basisgegevens!B$11,B22=Basisgegevens!B$12,B22=Basisgegevens!B$13,B22=Basisgegevens!B$14,B22=Basisgegevens!B$15),0,IF(K22&lt;=(TIME(8,0,0)),K22,(TIME(8,0,0))))</f>
        <v>0</v>
      </c>
      <c r="P22" s="71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0,IF(WEEKDAY(B22)=7,K22,K22-O22))</f>
        <v>0</v>
      </c>
      <c r="Q22" s="72">
        <f>IF(OR(WEEKDAY(B22)=1,B22=Basisgegevens!B$4,B22=Basisgegevens!B$5,B22=Basisgegevens!B$6,B22=Basisgegevens!B$7,B22=Basisgegevens!B$8,B22=Basisgegevens!B$9,B22=Basisgegevens!B$10,B22=Basisgegevens!B$11,B22=Basisgegevens!B$12,B22=Basisgegevens!B$13,B22=Basisgegevens!B$14,B22=Basisgegevens!B$15),K22,0)</f>
        <v>0</v>
      </c>
      <c r="R22" s="227"/>
      <c r="S22" s="227"/>
      <c r="T22" s="41"/>
      <c r="U22" s="100"/>
      <c r="V22" s="136" t="str">
        <f>IF(OR(B22=Basisgegevens!$B$4,B22=Basisgegevens!$B$5,B22=Basisgegevens!$B$6,B22=Basisgegevens!$B$7,B22=Basisgegevens!$B$8,B22=Basisgegevens!$B$9,B22=Basisgegevens!$B$10,B22=Basisgegevens!$B$11,B22=Basisgegevens!$B$12,B22=Basisgegevens!$B$13,B22=Basisgegevens!$B$14,B22=Basisgegevens!$B$15),"FD","")</f>
        <v/>
      </c>
      <c r="W22" s="220">
        <f t="shared" si="5"/>
        <v>51</v>
      </c>
      <c r="X22" s="31" t="str">
        <f>IF($D22="","",IF($B22&lt;Basisgegevens!$H$4,((((DAY($O22))*24)+(HOUR($O22))+((MINUTE($O22))/60))*Basisgegevens!$I$3)+((((DAY($P22))*24)+(HOUR($P22))+((MINUTE($P22))/60))*Basisgegevens!$I$3*1.5)+((((DAY($Q22))*24)+(HOUR($Q22))+((MINUTE($Q22))/60))*Basisgegevens!$I$3*2)+Basisgegevens!$J$3,IF(Jan!$B22&lt;Basisgegevens!$H$5,((((DAY($O22))*24)+(HOUR($O22))+((MINUTE($O22))/60))*Basisgegevens!$I$4)+((((DAY($P22))*24)+(HOUR($P22))+((MINUTE($P22))/60))*Basisgegevens!$I$4*1.5)+((((DAY($Q22))*24)+(HOUR($Q22))+((MINUTE($Q22))/60))*Basisgegevens!$I$4*2)+Basisgegevens!$J$4,((((DAY($O22))*24)+(HOUR($O22))+((MINUTE($O22))/60))*Basisgegevens!$I$5)+((((DAY($P22))*24)+(HOUR($P22))+((MINUTE($P22))/60))*Basisgegevens!$I$5*1.5)+((((DAY($Q22))*24)+(HOUR($Q22))+((MINUTE($Q22))/60))*Basisgegevens!$I$5*2)+Basisgegevens!$J$5)))</f>
        <v/>
      </c>
      <c r="Y22" s="31" t="str">
        <f>IF($D22="","",IF($B22&lt;Basisgegevens!$H$4,((((DAY($O22))*24)+(HOUR($O22))+((MINUTE($O22))/60))*Basisgegevens!$K$3)+((((DAY($P22))*24)+(HOUR($P22))+((MINUTE($P22))/60))*Basisgegevens!$K$3*1.5)+((((DAY($Q22))*24)+(HOUR($Q22))+((MINUTE($Q22))/60))*Basisgegevens!$K$3*2)+Basisgegevens!$L$3,IF(Jan!$B22&lt;Basisgegevens!$H$5,((((DAY($O22))*24)+(HOUR($O22))+((MINUTE($O22))/60))*Basisgegevens!$K$4)+((((DAY($P22))*24)+(HOUR($P22))+((MINUTE($P22))/60))*Basisgegevens!$K$4*1.5)+((((DAY($Q22))*24)+(HOUR($Q22))+((MINUTE($Q22))/60))*Basisgegevens!$K$4*2)+Basisgegevens!$L$4,((((DAY($O22))*24)+(HOUR($O22))+((MINUTE($O22))/60))*Basisgegevens!$K$5)+((((DAY($P22))*24)+(HOUR($P22))+((MINUTE($P22))/60))*Basisgegevens!$K$5*1.5)+((((DAY($Q22))*24)+(HOUR($Q22))+((MINUTE($Q22))/60))*Basisgegevens!$K$5*2)+Basisgegevens!$L$5)))</f>
        <v/>
      </c>
      <c r="Z22" s="309"/>
      <c r="AA22" s="309"/>
      <c r="AB22" s="309"/>
      <c r="AC22" s="309"/>
      <c r="AE22" s="4">
        <f t="shared" si="6"/>
        <v>0</v>
      </c>
    </row>
    <row r="23" spans="1:31" x14ac:dyDescent="0.25">
      <c r="A23" s="100" t="str">
        <f t="shared" si="0"/>
        <v>Maandag</v>
      </c>
      <c r="B23" s="226">
        <f t="shared" si="7"/>
        <v>46377</v>
      </c>
      <c r="C23" s="149"/>
      <c r="D23" s="149"/>
      <c r="E23" s="149"/>
      <c r="F23" s="149"/>
      <c r="G23" s="149"/>
      <c r="H23" s="79"/>
      <c r="I23" s="149"/>
      <c r="J23" s="188" t="str">
        <f t="shared" si="3"/>
        <v/>
      </c>
      <c r="K23" s="150">
        <f>IF(Basisgegevens!$F$1="JA",IF(D23="",0,(1-D23)+(E23)-G23),(E23-D23)-G23)</f>
        <v>0</v>
      </c>
      <c r="L23" s="44" t="str">
        <f t="shared" si="4"/>
        <v/>
      </c>
      <c r="M23" s="150">
        <f t="shared" si="8"/>
        <v>0</v>
      </c>
      <c r="N23" s="44" t="str">
        <f t="shared" si="2"/>
        <v/>
      </c>
      <c r="O23" s="150">
        <f>IF(OR(WEEKDAY(B23)=1,WEEKDAY(B23)=7,B23=Basisgegevens!B$4,B23=Basisgegevens!B$5,B23=Basisgegevens!B$6,B23=Basisgegevens!B$7,B23=Basisgegevens!B$8,B23=Basisgegevens!B$9,B23=Basisgegevens!B$10,B23=Basisgegevens!B$11,B23=Basisgegevens!B$12,B23=Basisgegevens!B$13,B23=Basisgegevens!B$14,B23=Basisgegevens!B$15),0,IF(K23&lt;=(TIME(8,0,0)),K23,(TIME(8,0,0))))</f>
        <v>0</v>
      </c>
      <c r="P23" s="71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0,IF(WEEKDAY(B23)=7,K23,K23-O23))</f>
        <v>0</v>
      </c>
      <c r="Q23" s="72">
        <f>IF(OR(WEEKDAY(B23)=1,B23=Basisgegevens!B$4,B23=Basisgegevens!B$5,B23=Basisgegevens!B$6,B23=Basisgegevens!B$7,B23=Basisgegevens!B$8,B23=Basisgegevens!B$9,B23=Basisgegevens!B$10,B23=Basisgegevens!B$11,B23=Basisgegevens!B$12,B23=Basisgegevens!B$13,B23=Basisgegevens!B$14,B23=Basisgegevens!B$15),K23,0)</f>
        <v>0</v>
      </c>
      <c r="R23" s="227"/>
      <c r="S23" s="227"/>
      <c r="T23" s="41"/>
      <c r="U23" s="100"/>
      <c r="V23" s="136" t="str">
        <f>IF(OR(B23=Basisgegevens!$B$4,B23=Basisgegevens!$B$5,B23=Basisgegevens!$B$6,B23=Basisgegevens!$B$7,B23=Basisgegevens!$B$8,B23=Basisgegevens!$B$9,B23=Basisgegevens!$B$10,B23=Basisgegevens!$B$11,B23=Basisgegevens!$B$12,B23=Basisgegevens!$B$13,B23=Basisgegevens!$B$14,B23=Basisgegevens!$B$15),"FD","")</f>
        <v/>
      </c>
      <c r="W23" s="220">
        <f t="shared" si="5"/>
        <v>52</v>
      </c>
      <c r="X23" s="31" t="str">
        <f>IF($D23="","",IF($B23&lt;Basisgegevens!$H$4,((((DAY($O23))*24)+(HOUR($O23))+((MINUTE($O23))/60))*Basisgegevens!$I$3)+((((DAY($P23))*24)+(HOUR($P23))+((MINUTE($P23))/60))*Basisgegevens!$I$3*1.5)+((((DAY($Q23))*24)+(HOUR($Q23))+((MINUTE($Q23))/60))*Basisgegevens!$I$3*2)+Basisgegevens!$J$3,IF(Jan!$B23&lt;Basisgegevens!$H$5,((((DAY($O23))*24)+(HOUR($O23))+((MINUTE($O23))/60))*Basisgegevens!$I$4)+((((DAY($P23))*24)+(HOUR($P23))+((MINUTE($P23))/60))*Basisgegevens!$I$4*1.5)+((((DAY($Q23))*24)+(HOUR($Q23))+((MINUTE($Q23))/60))*Basisgegevens!$I$4*2)+Basisgegevens!$J$4,((((DAY($O23))*24)+(HOUR($O23))+((MINUTE($O23))/60))*Basisgegevens!$I$5)+((((DAY($P23))*24)+(HOUR($P23))+((MINUTE($P23))/60))*Basisgegevens!$I$5*1.5)+((((DAY($Q23))*24)+(HOUR($Q23))+((MINUTE($Q23))/60))*Basisgegevens!$I$5*2)+Basisgegevens!$J$5)))</f>
        <v/>
      </c>
      <c r="Y23" s="31" t="str">
        <f>IF($D23="","",IF($B23&lt;Basisgegevens!$H$4,((((DAY($O23))*24)+(HOUR($O23))+((MINUTE($O23))/60))*Basisgegevens!$K$3)+((((DAY($P23))*24)+(HOUR($P23))+((MINUTE($P23))/60))*Basisgegevens!$K$3*1.5)+((((DAY($Q23))*24)+(HOUR($Q23))+((MINUTE($Q23))/60))*Basisgegevens!$K$3*2)+Basisgegevens!$L$3,IF(Jan!$B23&lt;Basisgegevens!$H$5,((((DAY($O23))*24)+(HOUR($O23))+((MINUTE($O23))/60))*Basisgegevens!$K$4)+((((DAY($P23))*24)+(HOUR($P23))+((MINUTE($P23))/60))*Basisgegevens!$K$4*1.5)+((((DAY($Q23))*24)+(HOUR($Q23))+((MINUTE($Q23))/60))*Basisgegevens!$K$4*2)+Basisgegevens!$L$4,((((DAY($O23))*24)+(HOUR($O23))+((MINUTE($O23))/60))*Basisgegevens!$K$5)+((((DAY($P23))*24)+(HOUR($P23))+((MINUTE($P23))/60))*Basisgegevens!$K$5*1.5)+((((DAY($Q23))*24)+(HOUR($Q23))+((MINUTE($Q23))/60))*Basisgegevens!$K$5*2)+Basisgegevens!$L$5)))</f>
        <v/>
      </c>
      <c r="Z23" s="309"/>
      <c r="AA23" s="309"/>
      <c r="AB23" s="309"/>
      <c r="AC23" s="309"/>
      <c r="AE23" s="4">
        <f t="shared" si="6"/>
        <v>0</v>
      </c>
    </row>
    <row r="24" spans="1:31" x14ac:dyDescent="0.25">
      <c r="A24" s="100" t="str">
        <f t="shared" si="0"/>
        <v>Dinsdag</v>
      </c>
      <c r="B24" s="226">
        <f t="shared" si="7"/>
        <v>46378</v>
      </c>
      <c r="C24" s="149"/>
      <c r="D24" s="149"/>
      <c r="E24" s="149"/>
      <c r="F24" s="149"/>
      <c r="G24" s="149"/>
      <c r="H24" s="79"/>
      <c r="I24" s="149"/>
      <c r="J24" s="188" t="str">
        <f t="shared" si="3"/>
        <v/>
      </c>
      <c r="K24" s="150">
        <f>IF(Basisgegevens!$F$1="JA",IF(D24="",0,(1-D24)+(E24)-G24),(E24-D24)-G24)</f>
        <v>0</v>
      </c>
      <c r="L24" s="44" t="str">
        <f t="shared" si="4"/>
        <v/>
      </c>
      <c r="M24" s="150">
        <f t="shared" si="8"/>
        <v>0</v>
      </c>
      <c r="N24" s="44" t="str">
        <f t="shared" si="2"/>
        <v/>
      </c>
      <c r="O24" s="150">
        <f>IF(OR(WEEKDAY(B24)=1,WEEKDAY(B24)=7,B24=Basisgegevens!B$4,B24=Basisgegevens!B$5,B24=Basisgegevens!B$6,B24=Basisgegevens!B$7,B24=Basisgegevens!B$8,B24=Basisgegevens!B$9,B24=Basisgegevens!B$10,B24=Basisgegevens!B$11,B24=Basisgegevens!B$12,B24=Basisgegevens!B$13,B24=Basisgegevens!B$14,B24=Basisgegevens!B$15),0,IF(K24&lt;=(TIME(8,0,0)),K24,(TIME(8,0,0))))</f>
        <v>0</v>
      </c>
      <c r="P24" s="71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0,IF(WEEKDAY(B24)=7,K24,K24-O24))</f>
        <v>0</v>
      </c>
      <c r="Q24" s="72">
        <f>IF(OR(WEEKDAY(B24)=1,B24=Basisgegevens!B$4,B24=Basisgegevens!B$5,B24=Basisgegevens!B$6,B24=Basisgegevens!B$7,B24=Basisgegevens!B$8,B24=Basisgegevens!B$9,B24=Basisgegevens!B$10,B24=Basisgegevens!B$11,B24=Basisgegevens!B$12,B24=Basisgegevens!B$13,B24=Basisgegevens!B$14,B24=Basisgegevens!B$15),K24,0)</f>
        <v>0</v>
      </c>
      <c r="R24" s="227"/>
      <c r="S24" s="227"/>
      <c r="T24" s="41"/>
      <c r="U24" s="100"/>
      <c r="V24" s="136" t="str">
        <f>IF(OR(B24=Basisgegevens!$B$4,B24=Basisgegevens!$B$5,B24=Basisgegevens!$B$6,B24=Basisgegevens!$B$7,B24=Basisgegevens!$B$8,B24=Basisgegevens!$B$9,B24=Basisgegevens!$B$10,B24=Basisgegevens!$B$11,B24=Basisgegevens!$B$12,B24=Basisgegevens!$B$13,B24=Basisgegevens!$B$14,B24=Basisgegevens!$B$15),"FD","")</f>
        <v/>
      </c>
      <c r="W24" s="220">
        <f t="shared" si="5"/>
        <v>52</v>
      </c>
      <c r="X24" s="31" t="str">
        <f>IF($D24="","",IF($B24&lt;Basisgegevens!$H$4,((((DAY($O24))*24)+(HOUR($O24))+((MINUTE($O24))/60))*Basisgegevens!$I$3)+((((DAY($P24))*24)+(HOUR($P24))+((MINUTE($P24))/60))*Basisgegevens!$I$3*1.5)+((((DAY($Q24))*24)+(HOUR($Q24))+((MINUTE($Q24))/60))*Basisgegevens!$I$3*2)+Basisgegevens!$J$3,IF(Jan!$B24&lt;Basisgegevens!$H$5,((((DAY($O24))*24)+(HOUR($O24))+((MINUTE($O24))/60))*Basisgegevens!$I$4)+((((DAY($P24))*24)+(HOUR($P24))+((MINUTE($P24))/60))*Basisgegevens!$I$4*1.5)+((((DAY($Q24))*24)+(HOUR($Q24))+((MINUTE($Q24))/60))*Basisgegevens!$I$4*2)+Basisgegevens!$J$4,((((DAY($O24))*24)+(HOUR($O24))+((MINUTE($O24))/60))*Basisgegevens!$I$5)+((((DAY($P24))*24)+(HOUR($P24))+((MINUTE($P24))/60))*Basisgegevens!$I$5*1.5)+((((DAY($Q24))*24)+(HOUR($Q24))+((MINUTE($Q24))/60))*Basisgegevens!$I$5*2)+Basisgegevens!$J$5)))</f>
        <v/>
      </c>
      <c r="Y24" s="31" t="str">
        <f>IF($D24="","",IF($B24&lt;Basisgegevens!$H$4,((((DAY($O24))*24)+(HOUR($O24))+((MINUTE($O24))/60))*Basisgegevens!$K$3)+((((DAY($P24))*24)+(HOUR($P24))+((MINUTE($P24))/60))*Basisgegevens!$K$3*1.5)+((((DAY($Q24))*24)+(HOUR($Q24))+((MINUTE($Q24))/60))*Basisgegevens!$K$3*2)+Basisgegevens!$L$3,IF(Jan!$B24&lt;Basisgegevens!$H$5,((((DAY($O24))*24)+(HOUR($O24))+((MINUTE($O24))/60))*Basisgegevens!$K$4)+((((DAY($P24))*24)+(HOUR($P24))+((MINUTE($P24))/60))*Basisgegevens!$K$4*1.5)+((((DAY($Q24))*24)+(HOUR($Q24))+((MINUTE($Q24))/60))*Basisgegevens!$K$4*2)+Basisgegevens!$L$4,((((DAY($O24))*24)+(HOUR($O24))+((MINUTE($O24))/60))*Basisgegevens!$K$5)+((((DAY($P24))*24)+(HOUR($P24))+((MINUTE($P24))/60))*Basisgegevens!$K$5*1.5)+((((DAY($Q24))*24)+(HOUR($Q24))+((MINUTE($Q24))/60))*Basisgegevens!$K$5*2)+Basisgegevens!$L$5)))</f>
        <v/>
      </c>
      <c r="Z24" s="309"/>
      <c r="AA24" s="309"/>
      <c r="AB24" s="309"/>
      <c r="AC24" s="309"/>
      <c r="AE24" s="4">
        <f t="shared" si="6"/>
        <v>0</v>
      </c>
    </row>
    <row r="25" spans="1:31" x14ac:dyDescent="0.25">
      <c r="A25" s="100" t="str">
        <f t="shared" si="0"/>
        <v>Woensdag</v>
      </c>
      <c r="B25" s="226">
        <f t="shared" si="7"/>
        <v>46379</v>
      </c>
      <c r="C25" s="149"/>
      <c r="D25" s="149"/>
      <c r="E25" s="149"/>
      <c r="F25" s="149"/>
      <c r="G25" s="149"/>
      <c r="H25" s="79"/>
      <c r="I25" s="149"/>
      <c r="J25" s="188" t="str">
        <f t="shared" si="3"/>
        <v/>
      </c>
      <c r="K25" s="150">
        <f>IF(Basisgegevens!$F$1="JA",IF(D25="",0,(1-D25)+(E25)-G25),(E25-D25)-G25)</f>
        <v>0</v>
      </c>
      <c r="L25" s="44" t="str">
        <f t="shared" si="4"/>
        <v/>
      </c>
      <c r="M25" s="150">
        <f t="shared" si="8"/>
        <v>0</v>
      </c>
      <c r="N25" s="44" t="str">
        <f t="shared" si="2"/>
        <v/>
      </c>
      <c r="O25" s="150">
        <f>IF(OR(WEEKDAY(B25)=1,WEEKDAY(B25)=7,B25=Basisgegevens!B$4,B25=Basisgegevens!B$5,B25=Basisgegevens!B$6,B25=Basisgegevens!B$7,B25=Basisgegevens!B$8,B25=Basisgegevens!B$9,B25=Basisgegevens!B$10,B25=Basisgegevens!B$11,B25=Basisgegevens!B$12,B25=Basisgegevens!B$13,B25=Basisgegevens!B$14,B25=Basisgegevens!B$15),0,IF(K25&lt;=(TIME(8,0,0)),K25,(TIME(8,0,0))))</f>
        <v>0</v>
      </c>
      <c r="P25" s="71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0,IF(WEEKDAY(B25)=7,K25,K25-O25))</f>
        <v>0</v>
      </c>
      <c r="Q25" s="72">
        <f>IF(OR(WEEKDAY(B25)=1,B25=Basisgegevens!B$4,B25=Basisgegevens!B$5,B25=Basisgegevens!B$6,B25=Basisgegevens!B$7,B25=Basisgegevens!B$8,B25=Basisgegevens!B$9,B25=Basisgegevens!B$10,B25=Basisgegevens!B$11,B25=Basisgegevens!B$12,B25=Basisgegevens!B$13,B25=Basisgegevens!B$14,B25=Basisgegevens!B$15),K25,0)</f>
        <v>0</v>
      </c>
      <c r="R25" s="227"/>
      <c r="S25" s="227"/>
      <c r="T25" s="41"/>
      <c r="U25" s="100"/>
      <c r="V25" s="136" t="str">
        <f>IF(OR(B25=Basisgegevens!$B$4,B25=Basisgegevens!$B$5,B25=Basisgegevens!$B$6,B25=Basisgegevens!$B$7,B25=Basisgegevens!$B$8,B25=Basisgegevens!$B$9,B25=Basisgegevens!$B$10,B25=Basisgegevens!$B$11,B25=Basisgegevens!$B$12,B25=Basisgegevens!$B$13,B25=Basisgegevens!$B$14,B25=Basisgegevens!$B$15),"FD","")</f>
        <v/>
      </c>
      <c r="W25" s="220">
        <f t="shared" si="5"/>
        <v>52</v>
      </c>
      <c r="X25" s="31" t="str">
        <f>IF($D25="","",IF($B25&lt;Basisgegevens!$H$4,((((DAY($O25))*24)+(HOUR($O25))+((MINUTE($O25))/60))*Basisgegevens!$I$3)+((((DAY($P25))*24)+(HOUR($P25))+((MINUTE($P25))/60))*Basisgegevens!$I$3*1.5)+((((DAY($Q25))*24)+(HOUR($Q25))+((MINUTE($Q25))/60))*Basisgegevens!$I$3*2)+Basisgegevens!$J$3,IF(Jan!$B25&lt;Basisgegevens!$H$5,((((DAY($O25))*24)+(HOUR($O25))+((MINUTE($O25))/60))*Basisgegevens!$I$4)+((((DAY($P25))*24)+(HOUR($P25))+((MINUTE($P25))/60))*Basisgegevens!$I$4*1.5)+((((DAY($Q25))*24)+(HOUR($Q25))+((MINUTE($Q25))/60))*Basisgegevens!$I$4*2)+Basisgegevens!$J$4,((((DAY($O25))*24)+(HOUR($O25))+((MINUTE($O25))/60))*Basisgegevens!$I$5)+((((DAY($P25))*24)+(HOUR($P25))+((MINUTE($P25))/60))*Basisgegevens!$I$5*1.5)+((((DAY($Q25))*24)+(HOUR($Q25))+((MINUTE($Q25))/60))*Basisgegevens!$I$5*2)+Basisgegevens!$J$5)))</f>
        <v/>
      </c>
      <c r="Y25" s="31" t="str">
        <f>IF($D25="","",IF($B25&lt;Basisgegevens!$H$4,((((DAY($O25))*24)+(HOUR($O25))+((MINUTE($O25))/60))*Basisgegevens!$K$3)+((((DAY($P25))*24)+(HOUR($P25))+((MINUTE($P25))/60))*Basisgegevens!$K$3*1.5)+((((DAY($Q25))*24)+(HOUR($Q25))+((MINUTE($Q25))/60))*Basisgegevens!$K$3*2)+Basisgegevens!$L$3,IF(Jan!$B25&lt;Basisgegevens!$H$5,((((DAY($O25))*24)+(HOUR($O25))+((MINUTE($O25))/60))*Basisgegevens!$K$4)+((((DAY($P25))*24)+(HOUR($P25))+((MINUTE($P25))/60))*Basisgegevens!$K$4*1.5)+((((DAY($Q25))*24)+(HOUR($Q25))+((MINUTE($Q25))/60))*Basisgegevens!$K$4*2)+Basisgegevens!$L$4,((((DAY($O25))*24)+(HOUR($O25))+((MINUTE($O25))/60))*Basisgegevens!$K$5)+((((DAY($P25))*24)+(HOUR($P25))+((MINUTE($P25))/60))*Basisgegevens!$K$5*1.5)+((((DAY($Q25))*24)+(HOUR($Q25))+((MINUTE($Q25))/60))*Basisgegevens!$K$5*2)+Basisgegevens!$L$5)))</f>
        <v/>
      </c>
      <c r="Z25" s="309"/>
      <c r="AA25" s="309"/>
      <c r="AB25" s="309"/>
      <c r="AC25" s="309"/>
      <c r="AE25" s="4">
        <f t="shared" si="6"/>
        <v>0</v>
      </c>
    </row>
    <row r="26" spans="1:31" x14ac:dyDescent="0.25">
      <c r="A26" s="100" t="str">
        <f t="shared" si="0"/>
        <v>Donderdag</v>
      </c>
      <c r="B26" s="226">
        <f t="shared" si="7"/>
        <v>46380</v>
      </c>
      <c r="C26" s="149"/>
      <c r="D26" s="149"/>
      <c r="E26" s="149"/>
      <c r="F26" s="149"/>
      <c r="G26" s="149"/>
      <c r="H26" s="79"/>
      <c r="I26" s="149"/>
      <c r="J26" s="188" t="str">
        <f t="shared" si="3"/>
        <v/>
      </c>
      <c r="K26" s="150">
        <f>IF(Basisgegevens!$F$1="JA",IF(D26="",0,(1-D26)+(E26)-G26),(E26-D26)-G26)</f>
        <v>0</v>
      </c>
      <c r="L26" s="44" t="str">
        <f t="shared" si="4"/>
        <v/>
      </c>
      <c r="M26" s="150">
        <f t="shared" si="8"/>
        <v>0</v>
      </c>
      <c r="N26" s="44" t="str">
        <f t="shared" si="2"/>
        <v/>
      </c>
      <c r="O26" s="150">
        <f>IF(OR(WEEKDAY(B26)=1,WEEKDAY(B26)=7,B26=Basisgegevens!B$4,B26=Basisgegevens!B$5,B26=Basisgegevens!B$6,B26=Basisgegevens!B$7,B26=Basisgegevens!B$8,B26=Basisgegevens!B$9,B26=Basisgegevens!B$10,B26=Basisgegevens!B$11,B26=Basisgegevens!B$12,B26=Basisgegevens!B$13,B26=Basisgegevens!B$14,B26=Basisgegevens!B$15),0,IF(K26&lt;=(TIME(8,0,0)),K26,(TIME(8,0,0))))</f>
        <v>0</v>
      </c>
      <c r="P26" s="71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0,IF(WEEKDAY(B26)=7,K26,K26-O26))</f>
        <v>0</v>
      </c>
      <c r="Q26" s="72">
        <f>IF(OR(WEEKDAY(B26)=1,B26=Basisgegevens!B$4,B26=Basisgegevens!B$5,B26=Basisgegevens!B$6,B26=Basisgegevens!B$7,B26=Basisgegevens!B$8,B26=Basisgegevens!B$9,B26=Basisgegevens!B$10,B26=Basisgegevens!B$11,B26=Basisgegevens!B$12,B26=Basisgegevens!B$13,B26=Basisgegevens!B$14,B26=Basisgegevens!B$15),K26,0)</f>
        <v>0</v>
      </c>
      <c r="R26" s="227"/>
      <c r="S26" s="227"/>
      <c r="T26" s="41"/>
      <c r="U26" s="41"/>
      <c r="V26" s="136" t="str">
        <f>IF(OR(B26=Basisgegevens!$B$4,B26=Basisgegevens!$B$5,B26=Basisgegevens!$B$6,B26=Basisgegevens!$B$7,B26=Basisgegevens!$B$8,B26=Basisgegevens!$B$9,B26=Basisgegevens!$B$10,B26=Basisgegevens!$B$11,B26=Basisgegevens!$B$12,B26=Basisgegevens!$B$13,B26=Basisgegevens!$B$14,B26=Basisgegevens!$B$15),"FD","")</f>
        <v/>
      </c>
      <c r="W26" s="220">
        <f t="shared" si="5"/>
        <v>52</v>
      </c>
      <c r="X26" s="31" t="str">
        <f>IF($D26="","",IF($B26&lt;Basisgegevens!$H$4,((((DAY($O26))*24)+(HOUR($O26))+((MINUTE($O26))/60))*Basisgegevens!$I$3)+((((DAY($P26))*24)+(HOUR($P26))+((MINUTE($P26))/60))*Basisgegevens!$I$3*1.5)+((((DAY($Q26))*24)+(HOUR($Q26))+((MINUTE($Q26))/60))*Basisgegevens!$I$3*2)+Basisgegevens!$J$3,IF(Jan!$B26&lt;Basisgegevens!$H$5,((((DAY($O26))*24)+(HOUR($O26))+((MINUTE($O26))/60))*Basisgegevens!$I$4)+((((DAY($P26))*24)+(HOUR($P26))+((MINUTE($P26))/60))*Basisgegevens!$I$4*1.5)+((((DAY($Q26))*24)+(HOUR($Q26))+((MINUTE($Q26))/60))*Basisgegevens!$I$4*2)+Basisgegevens!$J$4,((((DAY($O26))*24)+(HOUR($O26))+((MINUTE($O26))/60))*Basisgegevens!$I$5)+((((DAY($P26))*24)+(HOUR($P26))+((MINUTE($P26))/60))*Basisgegevens!$I$5*1.5)+((((DAY($Q26))*24)+(HOUR($Q26))+((MINUTE($Q26))/60))*Basisgegevens!$I$5*2)+Basisgegevens!$J$5)))</f>
        <v/>
      </c>
      <c r="Y26" s="31" t="str">
        <f>IF($D26="","",IF($B26&lt;Basisgegevens!$H$4,((((DAY($O26))*24)+(HOUR($O26))+((MINUTE($O26))/60))*Basisgegevens!$K$3)+((((DAY($P26))*24)+(HOUR($P26))+((MINUTE($P26))/60))*Basisgegevens!$K$3*1.5)+((((DAY($Q26))*24)+(HOUR($Q26))+((MINUTE($Q26))/60))*Basisgegevens!$K$3*2)+Basisgegevens!$L$3,IF(Jan!$B26&lt;Basisgegevens!$H$5,((((DAY($O26))*24)+(HOUR($O26))+((MINUTE($O26))/60))*Basisgegevens!$K$4)+((((DAY($P26))*24)+(HOUR($P26))+((MINUTE($P26))/60))*Basisgegevens!$K$4*1.5)+((((DAY($Q26))*24)+(HOUR($Q26))+((MINUTE($Q26))/60))*Basisgegevens!$K$4*2)+Basisgegevens!$L$4,((((DAY($O26))*24)+(HOUR($O26))+((MINUTE($O26))/60))*Basisgegevens!$K$5)+((((DAY($P26))*24)+(HOUR($P26))+((MINUTE($P26))/60))*Basisgegevens!$K$5*1.5)+((((DAY($Q26))*24)+(HOUR($Q26))+((MINUTE($Q26))/60))*Basisgegevens!$K$5*2)+Basisgegevens!$L$5)))</f>
        <v/>
      </c>
      <c r="Z26" s="309"/>
      <c r="AA26" s="309"/>
      <c r="AB26" s="309"/>
      <c r="AC26" s="309"/>
      <c r="AE26" s="4">
        <f t="shared" si="6"/>
        <v>0</v>
      </c>
    </row>
    <row r="27" spans="1:31" x14ac:dyDescent="0.25">
      <c r="A27" s="100" t="str">
        <f t="shared" si="0"/>
        <v>Vrijdag</v>
      </c>
      <c r="B27" s="226">
        <f t="shared" si="7"/>
        <v>46381</v>
      </c>
      <c r="C27" s="149"/>
      <c r="D27" s="149"/>
      <c r="E27" s="149"/>
      <c r="F27" s="149"/>
      <c r="G27" s="149"/>
      <c r="H27" s="79"/>
      <c r="I27" s="149"/>
      <c r="J27" s="188" t="str">
        <f t="shared" si="3"/>
        <v/>
      </c>
      <c r="K27" s="150">
        <f>IF(Basisgegevens!$F$1="JA",IF(D27="",0,(1-D27)+(E27)-G27),(E27-D27)-G27)</f>
        <v>0</v>
      </c>
      <c r="L27" s="44" t="str">
        <f t="shared" si="4"/>
        <v/>
      </c>
      <c r="M27" s="150">
        <f t="shared" si="8"/>
        <v>0</v>
      </c>
      <c r="N27" s="44" t="str">
        <f t="shared" si="2"/>
        <v/>
      </c>
      <c r="O27" s="150">
        <f>IF(OR(WEEKDAY(B27)=1,WEEKDAY(B27)=7,B27=Basisgegevens!B$4,B27=Basisgegevens!B$5,B27=Basisgegevens!B$6,B27=Basisgegevens!B$7,B27=Basisgegevens!B$8,B27=Basisgegevens!B$9,B27=Basisgegevens!B$10,B27=Basisgegevens!B$11,B27=Basisgegevens!B$12,B27=Basisgegevens!B$13,B27=Basisgegevens!B$14,B27=Basisgegevens!B$15),0,IF(K27&lt;=(TIME(8,0,0)),K27,(TIME(8,0,0))))</f>
        <v>0</v>
      </c>
      <c r="P27" s="71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0,IF(WEEKDAY(B27)=7,K27,K27-O27))</f>
        <v>0</v>
      </c>
      <c r="Q27" s="72">
        <f>IF(OR(WEEKDAY(B27)=1,B27=Basisgegevens!B$4,B27=Basisgegevens!B$5,B27=Basisgegevens!B$6,B27=Basisgegevens!B$7,B27=Basisgegevens!B$8,B27=Basisgegevens!B$9,B27=Basisgegevens!B$10,B27=Basisgegevens!B$11,B27=Basisgegevens!B$12,B27=Basisgegevens!B$13,B27=Basisgegevens!B$14,B27=Basisgegevens!B$15),K27,0)</f>
        <v>0</v>
      </c>
      <c r="R27" s="227"/>
      <c r="S27" s="227"/>
      <c r="T27" s="41"/>
      <c r="U27" s="41"/>
      <c r="V27" s="136" t="str">
        <f>IF(OR(B27=Basisgegevens!$B$4,B27=Basisgegevens!$B$5,B27=Basisgegevens!$B$6,B27=Basisgegevens!$B$7,B27=Basisgegevens!$B$8,B27=Basisgegevens!$B$9,B27=Basisgegevens!$B$10,B27=Basisgegevens!$B$11,B27=Basisgegevens!$B$12,B27=Basisgegevens!$B$13,B27=Basisgegevens!$B$14,B27=Basisgegevens!$B$15),"FD","")</f>
        <v>FD</v>
      </c>
      <c r="W27" s="220">
        <f t="shared" si="5"/>
        <v>52</v>
      </c>
      <c r="X27" s="31" t="str">
        <f>IF($D27="","",IF($B27&lt;Basisgegevens!$H$4,((((DAY($O27))*24)+(HOUR($O27))+((MINUTE($O27))/60))*Basisgegevens!$I$3)+((((DAY($P27))*24)+(HOUR($P27))+((MINUTE($P27))/60))*Basisgegevens!$I$3*1.5)+((((DAY($Q27))*24)+(HOUR($Q27))+((MINUTE($Q27))/60))*Basisgegevens!$I$3*2)+Basisgegevens!$J$3,IF(Jan!$B27&lt;Basisgegevens!$H$5,((((DAY($O27))*24)+(HOUR($O27))+((MINUTE($O27))/60))*Basisgegevens!$I$4)+((((DAY($P27))*24)+(HOUR($P27))+((MINUTE($P27))/60))*Basisgegevens!$I$4*1.5)+((((DAY($Q27))*24)+(HOUR($Q27))+((MINUTE($Q27))/60))*Basisgegevens!$I$4*2)+Basisgegevens!$J$4,((((DAY($O27))*24)+(HOUR($O27))+((MINUTE($O27))/60))*Basisgegevens!$I$5)+((((DAY($P27))*24)+(HOUR($P27))+((MINUTE($P27))/60))*Basisgegevens!$I$5*1.5)+((((DAY($Q27))*24)+(HOUR($Q27))+((MINUTE($Q27))/60))*Basisgegevens!$I$5*2)+Basisgegevens!$J$5)))</f>
        <v/>
      </c>
      <c r="Y27" s="31" t="str">
        <f>IF($D27="","",IF($B27&lt;Basisgegevens!$H$4,((((DAY($O27))*24)+(HOUR($O27))+((MINUTE($O27))/60))*Basisgegevens!$K$3)+((((DAY($P27))*24)+(HOUR($P27))+((MINUTE($P27))/60))*Basisgegevens!$K$3*1.5)+((((DAY($Q27))*24)+(HOUR($Q27))+((MINUTE($Q27))/60))*Basisgegevens!$K$3*2)+Basisgegevens!$L$3,IF(Jan!$B27&lt;Basisgegevens!$H$5,((((DAY($O27))*24)+(HOUR($O27))+((MINUTE($O27))/60))*Basisgegevens!$K$4)+((((DAY($P27))*24)+(HOUR($P27))+((MINUTE($P27))/60))*Basisgegevens!$K$4*1.5)+((((DAY($Q27))*24)+(HOUR($Q27))+((MINUTE($Q27))/60))*Basisgegevens!$K$4*2)+Basisgegevens!$L$4,((((DAY($O27))*24)+(HOUR($O27))+((MINUTE($O27))/60))*Basisgegevens!$K$5)+((((DAY($P27))*24)+(HOUR($P27))+((MINUTE($P27))/60))*Basisgegevens!$K$5*1.5)+((((DAY($Q27))*24)+(HOUR($Q27))+((MINUTE($Q27))/60))*Basisgegevens!$K$5*2)+Basisgegevens!$L$5)))</f>
        <v/>
      </c>
      <c r="Z27" s="309"/>
      <c r="AA27" s="309"/>
      <c r="AB27" s="309"/>
      <c r="AC27" s="309"/>
      <c r="AE27" s="4">
        <f t="shared" si="6"/>
        <v>0</v>
      </c>
    </row>
    <row r="28" spans="1:31" x14ac:dyDescent="0.25">
      <c r="A28" s="100" t="str">
        <f t="shared" si="0"/>
        <v>Zaterdag</v>
      </c>
      <c r="B28" s="226">
        <f t="shared" si="7"/>
        <v>46382</v>
      </c>
      <c r="C28" s="149"/>
      <c r="D28" s="149"/>
      <c r="E28" s="149"/>
      <c r="F28" s="149"/>
      <c r="G28" s="149"/>
      <c r="H28" s="79"/>
      <c r="I28" s="149"/>
      <c r="J28" s="188" t="str">
        <f t="shared" si="3"/>
        <v/>
      </c>
      <c r="K28" s="150">
        <f>IF(Basisgegevens!$F$1="JA",IF(D28="",0,(1-D28)+(E28)-G28),(E28-D28)-G28)</f>
        <v>0</v>
      </c>
      <c r="L28" s="44" t="str">
        <f t="shared" si="4"/>
        <v/>
      </c>
      <c r="M28" s="150">
        <f t="shared" si="8"/>
        <v>0</v>
      </c>
      <c r="N28" s="44" t="str">
        <f t="shared" si="2"/>
        <v/>
      </c>
      <c r="O28" s="150">
        <f>IF(OR(WEEKDAY(B28)=1,WEEKDAY(B28)=7,B28=Basisgegevens!B$4,B28=Basisgegevens!B$5,B28=Basisgegevens!B$6,B28=Basisgegevens!B$7,B28=Basisgegevens!B$8,B28=Basisgegevens!B$9,B28=Basisgegevens!B$10,B28=Basisgegevens!B$11,B28=Basisgegevens!B$12,B28=Basisgegevens!B$13,B28=Basisgegevens!B$14,B28=Basisgegevens!B$15),0,IF(K28&lt;=(TIME(8,0,0)),K28,(TIME(8,0,0))))</f>
        <v>0</v>
      </c>
      <c r="P28" s="71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0,IF(WEEKDAY(B28)=7,K28,K28-O28))</f>
        <v>0</v>
      </c>
      <c r="Q28" s="72">
        <f>IF(OR(WEEKDAY(B28)=1,B28=Basisgegevens!B$4,B28=Basisgegevens!B$5,B28=Basisgegevens!B$6,B28=Basisgegevens!B$7,B28=Basisgegevens!B$8,B28=Basisgegevens!B$9,B28=Basisgegevens!B$10,B28=Basisgegevens!B$11,B28=Basisgegevens!B$12,B28=Basisgegevens!B$13,B28=Basisgegevens!B$14,B28=Basisgegevens!B$15),K28,0)</f>
        <v>0</v>
      </c>
      <c r="R28" s="227"/>
      <c r="S28" s="227"/>
      <c r="T28" s="41"/>
      <c r="U28" s="100"/>
      <c r="V28" s="136" t="str">
        <f>IF(OR(B28=Basisgegevens!$B$4,B28=Basisgegevens!$B$5,B28=Basisgegevens!$B$6,B28=Basisgegevens!$B$7,B28=Basisgegevens!$B$8,B28=Basisgegevens!$B$9,B28=Basisgegevens!$B$10,B28=Basisgegevens!$B$11,B28=Basisgegevens!$B$12,B28=Basisgegevens!$B$13,B28=Basisgegevens!$B$14,B28=Basisgegevens!$B$15),"FD","")</f>
        <v/>
      </c>
      <c r="W28" s="220">
        <f t="shared" si="5"/>
        <v>52</v>
      </c>
      <c r="X28" s="31" t="str">
        <f>IF($D28="","",IF($B28&lt;Basisgegevens!$H$4,((((DAY($O28))*24)+(HOUR($O28))+((MINUTE($O28))/60))*Basisgegevens!$I$3)+((((DAY($P28))*24)+(HOUR($P28))+((MINUTE($P28))/60))*Basisgegevens!$I$3*1.5)+((((DAY($Q28))*24)+(HOUR($Q28))+((MINUTE($Q28))/60))*Basisgegevens!$I$3*2)+Basisgegevens!$J$3,IF(Jan!$B28&lt;Basisgegevens!$H$5,((((DAY($O28))*24)+(HOUR($O28))+((MINUTE($O28))/60))*Basisgegevens!$I$4)+((((DAY($P28))*24)+(HOUR($P28))+((MINUTE($P28))/60))*Basisgegevens!$I$4*1.5)+((((DAY($Q28))*24)+(HOUR($Q28))+((MINUTE($Q28))/60))*Basisgegevens!$I$4*2)+Basisgegevens!$J$4,((((DAY($O28))*24)+(HOUR($O28))+((MINUTE($O28))/60))*Basisgegevens!$I$5)+((((DAY($P28))*24)+(HOUR($P28))+((MINUTE($P28))/60))*Basisgegevens!$I$5*1.5)+((((DAY($Q28))*24)+(HOUR($Q28))+((MINUTE($Q28))/60))*Basisgegevens!$I$5*2)+Basisgegevens!$J$5)))</f>
        <v/>
      </c>
      <c r="Y28" s="31" t="str">
        <f>IF($D28="","",IF($B28&lt;Basisgegevens!$H$4,((((DAY($O28))*24)+(HOUR($O28))+((MINUTE($O28))/60))*Basisgegevens!$K$3)+((((DAY($P28))*24)+(HOUR($P28))+((MINUTE($P28))/60))*Basisgegevens!$K$3*1.5)+((((DAY($Q28))*24)+(HOUR($Q28))+((MINUTE($Q28))/60))*Basisgegevens!$K$3*2)+Basisgegevens!$L$3,IF(Jan!$B28&lt;Basisgegevens!$H$5,((((DAY($O28))*24)+(HOUR($O28))+((MINUTE($O28))/60))*Basisgegevens!$K$4)+((((DAY($P28))*24)+(HOUR($P28))+((MINUTE($P28))/60))*Basisgegevens!$K$4*1.5)+((((DAY($Q28))*24)+(HOUR($Q28))+((MINUTE($Q28))/60))*Basisgegevens!$K$4*2)+Basisgegevens!$L$4,((((DAY($O28))*24)+(HOUR($O28))+((MINUTE($O28))/60))*Basisgegevens!$K$5)+((((DAY($P28))*24)+(HOUR($P28))+((MINUTE($P28))/60))*Basisgegevens!$K$5*1.5)+((((DAY($Q28))*24)+(HOUR($Q28))+((MINUTE($Q28))/60))*Basisgegevens!$K$5*2)+Basisgegevens!$L$5)))</f>
        <v/>
      </c>
      <c r="Z28" s="309"/>
      <c r="AA28" s="309"/>
      <c r="AB28" s="309"/>
      <c r="AC28" s="309"/>
      <c r="AE28" s="4">
        <f t="shared" si="6"/>
        <v>0</v>
      </c>
    </row>
    <row r="29" spans="1:31" x14ac:dyDescent="0.25">
      <c r="A29" s="100" t="str">
        <f t="shared" si="0"/>
        <v>Zondag</v>
      </c>
      <c r="B29" s="226">
        <f t="shared" si="7"/>
        <v>46383</v>
      </c>
      <c r="C29" s="149"/>
      <c r="D29" s="149"/>
      <c r="E29" s="149"/>
      <c r="F29" s="149"/>
      <c r="G29" s="149"/>
      <c r="H29" s="79"/>
      <c r="I29" s="149"/>
      <c r="J29" s="188" t="str">
        <f t="shared" si="3"/>
        <v/>
      </c>
      <c r="K29" s="150">
        <f>IF(Basisgegevens!$F$1="JA",IF(D29="",0,(1-D29)+(E29)-G29),(E29-D29)-G29)</f>
        <v>0</v>
      </c>
      <c r="L29" s="44" t="str">
        <f t="shared" si="4"/>
        <v/>
      </c>
      <c r="M29" s="150">
        <f t="shared" si="8"/>
        <v>0</v>
      </c>
      <c r="N29" s="44" t="str">
        <f t="shared" si="2"/>
        <v/>
      </c>
      <c r="O29" s="150">
        <f>IF(OR(WEEKDAY(B29)=1,WEEKDAY(B29)=7,B29=Basisgegevens!B$4,B29=Basisgegevens!B$5,B29=Basisgegevens!B$6,B29=Basisgegevens!B$7,B29=Basisgegevens!B$8,B29=Basisgegevens!B$9,B29=Basisgegevens!B$10,B29=Basisgegevens!B$11,B29=Basisgegevens!B$12,B29=Basisgegevens!B$13,B29=Basisgegevens!B$14,B29=Basisgegevens!B$15),0,IF(K29&lt;=(TIME(8,0,0)),K29,(TIME(8,0,0))))</f>
        <v>0</v>
      </c>
      <c r="P29" s="71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0,IF(WEEKDAY(B29)=7,K29,K29-O29))</f>
        <v>0</v>
      </c>
      <c r="Q29" s="72">
        <f>IF(OR(WEEKDAY(B29)=1,B29=Basisgegevens!B$4,B29=Basisgegevens!B$5,B29=Basisgegevens!B$6,B29=Basisgegevens!B$7,B29=Basisgegevens!B$8,B29=Basisgegevens!B$9,B29=Basisgegevens!B$10,B29=Basisgegevens!B$11,B29=Basisgegevens!B$12,B29=Basisgegevens!B$13,B29=Basisgegevens!B$14,B29=Basisgegevens!B$15),K29,0)</f>
        <v>0</v>
      </c>
      <c r="R29" s="227"/>
      <c r="S29" s="227"/>
      <c r="T29" s="41"/>
      <c r="U29" s="100"/>
      <c r="V29" s="136" t="str">
        <f>IF(OR(B29=Basisgegevens!$B$4,B29=Basisgegevens!$B$5,B29=Basisgegevens!$B$6,B29=Basisgegevens!$B$7,B29=Basisgegevens!$B$8,B29=Basisgegevens!$B$9,B29=Basisgegevens!$B$10,B29=Basisgegevens!$B$11,B29=Basisgegevens!$B$12,B29=Basisgegevens!$B$13,B29=Basisgegevens!$B$14,B29=Basisgegevens!$B$15),"FD","")</f>
        <v/>
      </c>
      <c r="W29" s="220">
        <f t="shared" si="5"/>
        <v>52</v>
      </c>
      <c r="X29" s="31" t="str">
        <f>IF($D29="","",IF($B29&lt;Basisgegevens!$H$4,((((DAY($O29))*24)+(HOUR($O29))+((MINUTE($O29))/60))*Basisgegevens!$I$3)+((((DAY($P29))*24)+(HOUR($P29))+((MINUTE($P29))/60))*Basisgegevens!$I$3*1.5)+((((DAY($Q29))*24)+(HOUR($Q29))+((MINUTE($Q29))/60))*Basisgegevens!$I$3*2)+Basisgegevens!$J$3,IF(Jan!$B29&lt;Basisgegevens!$H$5,((((DAY($O29))*24)+(HOUR($O29))+((MINUTE($O29))/60))*Basisgegevens!$I$4)+((((DAY($P29))*24)+(HOUR($P29))+((MINUTE($P29))/60))*Basisgegevens!$I$4*1.5)+((((DAY($Q29))*24)+(HOUR($Q29))+((MINUTE($Q29))/60))*Basisgegevens!$I$4*2)+Basisgegevens!$J$4,((((DAY($O29))*24)+(HOUR($O29))+((MINUTE($O29))/60))*Basisgegevens!$I$5)+((((DAY($P29))*24)+(HOUR($P29))+((MINUTE($P29))/60))*Basisgegevens!$I$5*1.5)+((((DAY($Q29))*24)+(HOUR($Q29))+((MINUTE($Q29))/60))*Basisgegevens!$I$5*2)+Basisgegevens!$J$5)))</f>
        <v/>
      </c>
      <c r="Y29" s="31" t="str">
        <f>IF($D29="","",IF($B29&lt;Basisgegevens!$H$4,((((DAY($O29))*24)+(HOUR($O29))+((MINUTE($O29))/60))*Basisgegevens!$K$3)+((((DAY($P29))*24)+(HOUR($P29))+((MINUTE($P29))/60))*Basisgegevens!$K$3*1.5)+((((DAY($Q29))*24)+(HOUR($Q29))+((MINUTE($Q29))/60))*Basisgegevens!$K$3*2)+Basisgegevens!$L$3,IF(Jan!$B29&lt;Basisgegevens!$H$5,((((DAY($O29))*24)+(HOUR($O29))+((MINUTE($O29))/60))*Basisgegevens!$K$4)+((((DAY($P29))*24)+(HOUR($P29))+((MINUTE($P29))/60))*Basisgegevens!$K$4*1.5)+((((DAY($Q29))*24)+(HOUR($Q29))+((MINUTE($Q29))/60))*Basisgegevens!$K$4*2)+Basisgegevens!$L$4,((((DAY($O29))*24)+(HOUR($O29))+((MINUTE($O29))/60))*Basisgegevens!$K$5)+((((DAY($P29))*24)+(HOUR($P29))+((MINUTE($P29))/60))*Basisgegevens!$K$5*1.5)+((((DAY($Q29))*24)+(HOUR($Q29))+((MINUTE($Q29))/60))*Basisgegevens!$K$5*2)+Basisgegevens!$L$5)))</f>
        <v/>
      </c>
      <c r="Z29" s="309"/>
      <c r="AA29" s="309"/>
      <c r="AB29" s="309"/>
      <c r="AC29" s="309"/>
      <c r="AE29" s="4">
        <f t="shared" si="6"/>
        <v>0</v>
      </c>
    </row>
    <row r="30" spans="1:31" x14ac:dyDescent="0.25">
      <c r="A30" s="100" t="str">
        <f t="shared" si="0"/>
        <v>Maandag</v>
      </c>
      <c r="B30" s="226">
        <f t="shared" si="7"/>
        <v>46384</v>
      </c>
      <c r="C30" s="149"/>
      <c r="D30" s="149"/>
      <c r="E30" s="149"/>
      <c r="F30" s="149"/>
      <c r="G30" s="149"/>
      <c r="H30" s="79"/>
      <c r="I30" s="149"/>
      <c r="J30" s="188" t="str">
        <f t="shared" si="3"/>
        <v/>
      </c>
      <c r="K30" s="150">
        <f>IF(Basisgegevens!$F$1="JA",IF(D30="",0,(1-D30)+(E30)-G30),(E30-D30)-G30)</f>
        <v>0</v>
      </c>
      <c r="L30" s="44" t="str">
        <f t="shared" si="4"/>
        <v/>
      </c>
      <c r="M30" s="150">
        <f t="shared" si="8"/>
        <v>0</v>
      </c>
      <c r="N30" s="44" t="str">
        <f t="shared" si="2"/>
        <v/>
      </c>
      <c r="O30" s="150">
        <f>IF(OR(WEEKDAY(B30)=1,WEEKDAY(B30)=7,B30=Basisgegevens!B$4,B30=Basisgegevens!B$5,B30=Basisgegevens!B$6,B30=Basisgegevens!B$7,B30=Basisgegevens!B$8,B30=Basisgegevens!B$9,B30=Basisgegevens!B$10,B30=Basisgegevens!B$11,B30=Basisgegevens!B$12,B30=Basisgegevens!B$13,B30=Basisgegevens!B$14,B30=Basisgegevens!B$15),0,IF(K30&lt;=(TIME(8,0,0)),K30,(TIME(8,0,0))))</f>
        <v>0</v>
      </c>
      <c r="P30" s="71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0,IF(WEEKDAY(B30)=7,K30,K30-O30))</f>
        <v>0</v>
      </c>
      <c r="Q30" s="72">
        <f>IF(OR(WEEKDAY(B30)=1,B30=Basisgegevens!B$4,B30=Basisgegevens!B$5,B30=Basisgegevens!B$6,B30=Basisgegevens!B$7,B30=Basisgegevens!B$8,B30=Basisgegevens!B$9,B30=Basisgegevens!B$10,B30=Basisgegevens!B$11,B30=Basisgegevens!B$12,B30=Basisgegevens!B$13,B30=Basisgegevens!B$14,B30=Basisgegevens!B$15),K30,0)</f>
        <v>0</v>
      </c>
      <c r="R30" s="227"/>
      <c r="S30" s="227"/>
      <c r="T30" s="41"/>
      <c r="U30" s="100"/>
      <c r="V30" s="136" t="str">
        <f>IF(OR(B30=Basisgegevens!$B$4,B30=Basisgegevens!$B$5,B30=Basisgegevens!$B$6,B30=Basisgegevens!$B$7,B30=Basisgegevens!$B$8,B30=Basisgegevens!$B$9,B30=Basisgegevens!$B$10,B30=Basisgegevens!$B$11,B30=Basisgegevens!$B$12,B30=Basisgegevens!$B$13,B30=Basisgegevens!$B$14,B30=Basisgegevens!$B$15),"FD","")</f>
        <v/>
      </c>
      <c r="W30" s="220">
        <f t="shared" si="5"/>
        <v>53</v>
      </c>
      <c r="X30" s="31" t="str">
        <f>IF($D30="","",IF($B30&lt;Basisgegevens!$H$4,((((DAY($O30))*24)+(HOUR($O30))+((MINUTE($O30))/60))*Basisgegevens!$I$3)+((((DAY($P30))*24)+(HOUR($P30))+((MINUTE($P30))/60))*Basisgegevens!$I$3*1.5)+((((DAY($Q30))*24)+(HOUR($Q30))+((MINUTE($Q30))/60))*Basisgegevens!$I$3*2)+Basisgegevens!$J$3,IF(Jan!$B30&lt;Basisgegevens!$H$5,((((DAY($O30))*24)+(HOUR($O30))+((MINUTE($O30))/60))*Basisgegevens!$I$4)+((((DAY($P30))*24)+(HOUR($P30))+((MINUTE($P30))/60))*Basisgegevens!$I$4*1.5)+((((DAY($Q30))*24)+(HOUR($Q30))+((MINUTE($Q30))/60))*Basisgegevens!$I$4*2)+Basisgegevens!$J$4,((((DAY($O30))*24)+(HOUR($O30))+((MINUTE($O30))/60))*Basisgegevens!$I$5)+((((DAY($P30))*24)+(HOUR($P30))+((MINUTE($P30))/60))*Basisgegevens!$I$5*1.5)+((((DAY($Q30))*24)+(HOUR($Q30))+((MINUTE($Q30))/60))*Basisgegevens!$I$5*2)+Basisgegevens!$J$5)))</f>
        <v/>
      </c>
      <c r="Y30" s="31" t="str">
        <f>IF($D30="","",IF($B30&lt;Basisgegevens!$H$4,((((DAY($O30))*24)+(HOUR($O30))+((MINUTE($O30))/60))*Basisgegevens!$K$3)+((((DAY($P30))*24)+(HOUR($P30))+((MINUTE($P30))/60))*Basisgegevens!$K$3*1.5)+((((DAY($Q30))*24)+(HOUR($Q30))+((MINUTE($Q30))/60))*Basisgegevens!$K$3*2)+Basisgegevens!$L$3,IF(Jan!$B30&lt;Basisgegevens!$H$5,((((DAY($O30))*24)+(HOUR($O30))+((MINUTE($O30))/60))*Basisgegevens!$K$4)+((((DAY($P30))*24)+(HOUR($P30))+((MINUTE($P30))/60))*Basisgegevens!$K$4*1.5)+((((DAY($Q30))*24)+(HOUR($Q30))+((MINUTE($Q30))/60))*Basisgegevens!$K$4*2)+Basisgegevens!$L$4,((((DAY($O30))*24)+(HOUR($O30))+((MINUTE($O30))/60))*Basisgegevens!$K$5)+((((DAY($P30))*24)+(HOUR($P30))+((MINUTE($P30))/60))*Basisgegevens!$K$5*1.5)+((((DAY($Q30))*24)+(HOUR($Q30))+((MINUTE($Q30))/60))*Basisgegevens!$K$5*2)+Basisgegevens!$L$5)))</f>
        <v/>
      </c>
      <c r="Z30" s="309"/>
      <c r="AA30" s="309"/>
      <c r="AB30" s="309"/>
      <c r="AC30" s="309"/>
      <c r="AE30" s="4">
        <f t="shared" si="6"/>
        <v>0</v>
      </c>
    </row>
    <row r="31" spans="1:31" x14ac:dyDescent="0.25">
      <c r="A31" s="100" t="str">
        <f t="shared" si="0"/>
        <v>Dinsdag</v>
      </c>
      <c r="B31" s="226">
        <f t="shared" si="7"/>
        <v>46385</v>
      </c>
      <c r="C31" s="149"/>
      <c r="D31" s="149"/>
      <c r="E31" s="149"/>
      <c r="F31" s="149"/>
      <c r="G31" s="149"/>
      <c r="H31" s="79"/>
      <c r="I31" s="149"/>
      <c r="J31" s="188" t="str">
        <f t="shared" si="3"/>
        <v/>
      </c>
      <c r="K31" s="150">
        <f>IF(Basisgegevens!$F$1="JA",IF(D31="",0,(1-D31)+(E31)-G31),(E31-D31)-G31)</f>
        <v>0</v>
      </c>
      <c r="L31" s="44" t="str">
        <f t="shared" si="4"/>
        <v/>
      </c>
      <c r="M31" s="150">
        <f t="shared" si="8"/>
        <v>0</v>
      </c>
      <c r="N31" s="44" t="str">
        <f t="shared" si="2"/>
        <v/>
      </c>
      <c r="O31" s="150">
        <f>IF(OR(WEEKDAY(B31)=1,WEEKDAY(B31)=7,B31=Basisgegevens!B$4,B31=Basisgegevens!B$5,B31=Basisgegevens!B$6,B31=Basisgegevens!B$7,B31=Basisgegevens!B$8,B31=Basisgegevens!B$9,B31=Basisgegevens!B$10,B31=Basisgegevens!B$11,B31=Basisgegevens!B$12,B31=Basisgegevens!B$13,B31=Basisgegevens!B$14,B31=Basisgegevens!B$15),0,IF(K31&lt;=(TIME(8,0,0)),K31,(TIME(8,0,0))))</f>
        <v>0</v>
      </c>
      <c r="P31" s="71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0,IF(WEEKDAY(B31)=7,K31,K31-O31))</f>
        <v>0</v>
      </c>
      <c r="Q31" s="72">
        <f>IF(OR(WEEKDAY(B31)=1,B31=Basisgegevens!B$4,B31=Basisgegevens!B$5,B31=Basisgegevens!B$6,B31=Basisgegevens!B$7,B31=Basisgegevens!B$8,B31=Basisgegevens!B$9,B31=Basisgegevens!B$10,B31=Basisgegevens!B$11,B31=Basisgegevens!B$12,B31=Basisgegevens!B$13,B31=Basisgegevens!B$14,B31=Basisgegevens!B$15),K31,0)</f>
        <v>0</v>
      </c>
      <c r="R31" s="227"/>
      <c r="S31" s="227"/>
      <c r="T31" s="41"/>
      <c r="U31" s="100"/>
      <c r="V31" s="136" t="str">
        <f>IF(OR(B31=Basisgegevens!$B$4,B31=Basisgegevens!$B$5,B31=Basisgegevens!$B$6,B31=Basisgegevens!$B$7,B31=Basisgegevens!$B$8,B31=Basisgegevens!$B$9,B31=Basisgegevens!$B$10,B31=Basisgegevens!$B$11,B31=Basisgegevens!$B$12,B31=Basisgegevens!$B$13,B31=Basisgegevens!$B$14,B31=Basisgegevens!$B$15),"FD","")</f>
        <v/>
      </c>
      <c r="W31" s="220">
        <f t="shared" si="5"/>
        <v>53</v>
      </c>
      <c r="X31" s="31" t="str">
        <f>IF($D31="","",IF($B31&lt;Basisgegevens!$H$4,((((DAY($O31))*24)+(HOUR($O31))+((MINUTE($O31))/60))*Basisgegevens!$I$3)+((((DAY($P31))*24)+(HOUR($P31))+((MINUTE($P31))/60))*Basisgegevens!$I$3*1.5)+((((DAY($Q31))*24)+(HOUR($Q31))+((MINUTE($Q31))/60))*Basisgegevens!$I$3*2)+Basisgegevens!$J$3,IF(Jan!$B31&lt;Basisgegevens!$H$5,((((DAY($O31))*24)+(HOUR($O31))+((MINUTE($O31))/60))*Basisgegevens!$I$4)+((((DAY($P31))*24)+(HOUR($P31))+((MINUTE($P31))/60))*Basisgegevens!$I$4*1.5)+((((DAY($Q31))*24)+(HOUR($Q31))+((MINUTE($Q31))/60))*Basisgegevens!$I$4*2)+Basisgegevens!$J$4,((((DAY($O31))*24)+(HOUR($O31))+((MINUTE($O31))/60))*Basisgegevens!$I$5)+((((DAY($P31))*24)+(HOUR($P31))+((MINUTE($P31))/60))*Basisgegevens!$I$5*1.5)+((((DAY($Q31))*24)+(HOUR($Q31))+((MINUTE($Q31))/60))*Basisgegevens!$I$5*2)+Basisgegevens!$J$5)))</f>
        <v/>
      </c>
      <c r="Y31" s="31" t="str">
        <f>IF($D31="","",IF($B31&lt;Basisgegevens!$H$4,((((DAY($O31))*24)+(HOUR($O31))+((MINUTE($O31))/60))*Basisgegevens!$K$3)+((((DAY($P31))*24)+(HOUR($P31))+((MINUTE($P31))/60))*Basisgegevens!$K$3*1.5)+((((DAY($Q31))*24)+(HOUR($Q31))+((MINUTE($Q31))/60))*Basisgegevens!$K$3*2)+Basisgegevens!$L$3,IF(Jan!$B31&lt;Basisgegevens!$H$5,((((DAY($O31))*24)+(HOUR($O31))+((MINUTE($O31))/60))*Basisgegevens!$K$4)+((((DAY($P31))*24)+(HOUR($P31))+((MINUTE($P31))/60))*Basisgegevens!$K$4*1.5)+((((DAY($Q31))*24)+(HOUR($Q31))+((MINUTE($Q31))/60))*Basisgegevens!$K$4*2)+Basisgegevens!$L$4,((((DAY($O31))*24)+(HOUR($O31))+((MINUTE($O31))/60))*Basisgegevens!$K$5)+((((DAY($P31))*24)+(HOUR($P31))+((MINUTE($P31))/60))*Basisgegevens!$K$5*1.5)+((((DAY($Q31))*24)+(HOUR($Q31))+((MINUTE($Q31))/60))*Basisgegevens!$K$5*2)+Basisgegevens!$L$5)))</f>
        <v/>
      </c>
      <c r="Z31" s="309"/>
      <c r="AA31" s="309"/>
      <c r="AB31" s="309"/>
      <c r="AC31" s="309"/>
      <c r="AE31" s="4">
        <f t="shared" si="6"/>
        <v>0</v>
      </c>
    </row>
    <row r="32" spans="1:31" x14ac:dyDescent="0.25">
      <c r="A32" s="100" t="str">
        <f t="shared" si="0"/>
        <v>Woensdag</v>
      </c>
      <c r="B32" s="226">
        <f t="shared" si="7"/>
        <v>46386</v>
      </c>
      <c r="C32" s="149"/>
      <c r="D32" s="149"/>
      <c r="E32" s="149"/>
      <c r="F32" s="149"/>
      <c r="G32" s="149"/>
      <c r="H32" s="79"/>
      <c r="I32" s="149"/>
      <c r="J32" s="188" t="str">
        <f t="shared" si="3"/>
        <v/>
      </c>
      <c r="K32" s="150">
        <f>IF(Basisgegevens!$F$1="JA",IF(D32="",0,(1-D32)+(E32)-G32),(E32-D32)-G32)</f>
        <v>0</v>
      </c>
      <c r="L32" s="44" t="str">
        <f t="shared" si="4"/>
        <v/>
      </c>
      <c r="M32" s="150">
        <f t="shared" si="8"/>
        <v>0</v>
      </c>
      <c r="N32" s="44" t="str">
        <f t="shared" si="2"/>
        <v/>
      </c>
      <c r="O32" s="150">
        <f>IF(OR(WEEKDAY(B32)=1,WEEKDAY(B32)=7,B32=Basisgegevens!B$4,B32=Basisgegevens!B$5,B32=Basisgegevens!B$6,B32=Basisgegevens!B$7,B32=Basisgegevens!B$8,B32=Basisgegevens!B$9,B32=Basisgegevens!B$10,B32=Basisgegevens!B$11,B32=Basisgegevens!B$12,B32=Basisgegevens!B$13,B32=Basisgegevens!B$14,B32=Basisgegevens!B$15),0,IF(K32&lt;=(TIME(8,0,0)),K32,(TIME(8,0,0))))</f>
        <v>0</v>
      </c>
      <c r="P32" s="71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0,IF(WEEKDAY(B32)=7,K32,K32-O32))</f>
        <v>0</v>
      </c>
      <c r="Q32" s="72">
        <f>IF(OR(WEEKDAY(B32)=1,B32=Basisgegevens!B$4,B32=Basisgegevens!B$5,B32=Basisgegevens!B$6,B32=Basisgegevens!B$7,B32=Basisgegevens!B$8,B32=Basisgegevens!B$9,B32=Basisgegevens!B$10,B32=Basisgegevens!B$11,B32=Basisgegevens!B$12,B32=Basisgegevens!B$13,B32=Basisgegevens!B$14,B32=Basisgegevens!B$15),K32,0)</f>
        <v>0</v>
      </c>
      <c r="R32" s="227"/>
      <c r="S32" s="227"/>
      <c r="T32" s="41"/>
      <c r="U32" s="100"/>
      <c r="V32" s="136" t="str">
        <f>IF(OR(B32=Basisgegevens!$B$4,B32=Basisgegevens!$B$5,B32=Basisgegevens!$B$6,B32=Basisgegevens!$B$7,B32=Basisgegevens!$B$8,B32=Basisgegevens!$B$9,B32=Basisgegevens!$B$10,B32=Basisgegevens!$B$11,B32=Basisgegevens!$B$12,B32=Basisgegevens!$B$13,B32=Basisgegevens!$B$14,B32=Basisgegevens!$B$15),"FD","")</f>
        <v/>
      </c>
      <c r="W32" s="220">
        <f t="shared" si="5"/>
        <v>53</v>
      </c>
      <c r="X32" s="31" t="str">
        <f>IF($D32="","",IF($B32&lt;Basisgegevens!$H$4,((((DAY($O32))*24)+(HOUR($O32))+((MINUTE($O32))/60))*Basisgegevens!$I$3)+((((DAY($P32))*24)+(HOUR($P32))+((MINUTE($P32))/60))*Basisgegevens!$I$3*1.5)+((((DAY($Q32))*24)+(HOUR($Q32))+((MINUTE($Q32))/60))*Basisgegevens!$I$3*2)+Basisgegevens!$J$3,IF(Jan!$B32&lt;Basisgegevens!$H$5,((((DAY($O32))*24)+(HOUR($O32))+((MINUTE($O32))/60))*Basisgegevens!$I$4)+((((DAY($P32))*24)+(HOUR($P32))+((MINUTE($P32))/60))*Basisgegevens!$I$4*1.5)+((((DAY($Q32))*24)+(HOUR($Q32))+((MINUTE($Q32))/60))*Basisgegevens!$I$4*2)+Basisgegevens!$J$4,((((DAY($O32))*24)+(HOUR($O32))+((MINUTE($O32))/60))*Basisgegevens!$I$5)+((((DAY($P32))*24)+(HOUR($P32))+((MINUTE($P32))/60))*Basisgegevens!$I$5*1.5)+((((DAY($Q32))*24)+(HOUR($Q32))+((MINUTE($Q32))/60))*Basisgegevens!$I$5*2)+Basisgegevens!$J$5)))</f>
        <v/>
      </c>
      <c r="Y32" s="31" t="str">
        <f>IF($D32="","",IF($B32&lt;Basisgegevens!$H$4,((((DAY($O32))*24)+(HOUR($O32))+((MINUTE($O32))/60))*Basisgegevens!$K$3)+((((DAY($P32))*24)+(HOUR($P32))+((MINUTE($P32))/60))*Basisgegevens!$K$3*1.5)+((((DAY($Q32))*24)+(HOUR($Q32))+((MINUTE($Q32))/60))*Basisgegevens!$K$3*2)+Basisgegevens!$L$3,IF(Jan!$B32&lt;Basisgegevens!$H$5,((((DAY($O32))*24)+(HOUR($O32))+((MINUTE($O32))/60))*Basisgegevens!$K$4)+((((DAY($P32))*24)+(HOUR($P32))+((MINUTE($P32))/60))*Basisgegevens!$K$4*1.5)+((((DAY($Q32))*24)+(HOUR($Q32))+((MINUTE($Q32))/60))*Basisgegevens!$K$4*2)+Basisgegevens!$L$4,((((DAY($O32))*24)+(HOUR($O32))+((MINUTE($O32))/60))*Basisgegevens!$K$5)+((((DAY($P32))*24)+(HOUR($P32))+((MINUTE($P32))/60))*Basisgegevens!$K$5*1.5)+((((DAY($Q32))*24)+(HOUR($Q32))+((MINUTE($Q32))/60))*Basisgegevens!$K$5*2)+Basisgegevens!$L$5)))</f>
        <v/>
      </c>
      <c r="Z32" s="309"/>
      <c r="AA32" s="309"/>
      <c r="AB32" s="309"/>
      <c r="AC32" s="309"/>
      <c r="AE32" s="4">
        <f t="shared" si="6"/>
        <v>0</v>
      </c>
    </row>
    <row r="33" spans="1:31" x14ac:dyDescent="0.25">
      <c r="A33" s="100" t="str">
        <f>IF(WEEKDAY(B33)=1,"Zondag",IF(WEEKDAY(B33)=2,"Maandag",IF(WEEKDAY(B33)=3,"Dinsdag",IF(WEEKDAY(B33)=4,"Woensdag",IF(WEEKDAY(B33)=5,"Donderdag",IF(WEEKDAY(B33)=6,"Vrijdag","Zaterdag"))))))</f>
        <v>Donderdag</v>
      </c>
      <c r="B33" s="226">
        <f t="shared" si="7"/>
        <v>46387</v>
      </c>
      <c r="C33" s="149"/>
      <c r="D33" s="149"/>
      <c r="E33" s="149"/>
      <c r="F33" s="149"/>
      <c r="G33" s="149"/>
      <c r="H33" s="79"/>
      <c r="I33" s="149"/>
      <c r="J33" s="188" t="str">
        <f t="shared" si="3"/>
        <v/>
      </c>
      <c r="K33" s="150">
        <f>IF(Basisgegevens!$F$1="JA",IF(D33="",0,(1-D33)+(E33)-G33),(E33-D33)-G33)</f>
        <v>0</v>
      </c>
      <c r="L33" s="44" t="str">
        <f t="shared" si="4"/>
        <v/>
      </c>
      <c r="M33" s="150">
        <f t="shared" si="8"/>
        <v>0</v>
      </c>
      <c r="N33" s="44" t="str">
        <f t="shared" si="2"/>
        <v/>
      </c>
      <c r="O33" s="150">
        <f>IF(OR(WEEKDAY(B33)=1,WEEKDAY(B33)=7,B33=Basisgegevens!B$4,B33=Basisgegevens!B$5,B33=Basisgegevens!B$6,B33=Basisgegevens!B$7,B33=Basisgegevens!B$8,B33=Basisgegevens!B$9,B33=Basisgegevens!B$10,B33=Basisgegevens!B$11,B33=Basisgegevens!B$12,B33=Basisgegevens!B$13,B33=Basisgegevens!B$14,B33=Basisgegevens!B$15),0,IF(K33&lt;=(TIME(8,0,0)),K33,(TIME(8,0,0))))</f>
        <v>0</v>
      </c>
      <c r="P33" s="71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0,IF(WEEKDAY(B33)=7,K33,K33-O33))</f>
        <v>0</v>
      </c>
      <c r="Q33" s="72">
        <f>IF(OR(WEEKDAY(B33)=1,B33=Basisgegevens!B$4,B33=Basisgegevens!B$5,B33=Basisgegevens!B$6,B33=Basisgegevens!B$7,B33=Basisgegevens!B$8,B33=Basisgegevens!B$9,B33=Basisgegevens!B$10,B33=Basisgegevens!B$11,B33=Basisgegevens!B$12,B33=Basisgegevens!B$13,B33=Basisgegevens!B$14,B33=Basisgegevens!B$15),K33,0)</f>
        <v>0</v>
      </c>
      <c r="R33" s="227"/>
      <c r="S33" s="227"/>
      <c r="T33" s="41"/>
      <c r="U33" s="41"/>
      <c r="V33" s="136" t="str">
        <f>IF(OR(B33=Basisgegevens!$B$4,B33=Basisgegevens!$B$5,B33=Basisgegevens!$B$6,B33=Basisgegevens!$B$7,B33=Basisgegevens!$B$8,B33=Basisgegevens!$B$9,B33=Basisgegevens!$B$10,B33=Basisgegevens!$B$11,B33=Basisgegevens!$B$12,B33=Basisgegevens!$B$13,B33=Basisgegevens!$B$14,B33=Basisgegevens!$B$15),"FD","")</f>
        <v/>
      </c>
      <c r="W33" s="220">
        <f t="shared" si="5"/>
        <v>53</v>
      </c>
      <c r="X33" s="31" t="str">
        <f>IF($D33="","",IF($B33&lt;Basisgegevens!$H$4,((((DAY($O33))*24)+(HOUR($O33))+((MINUTE($O33))/60))*Basisgegevens!$I$3)+((((DAY($P33))*24)+(HOUR($P33))+((MINUTE($P33))/60))*Basisgegevens!$I$3*1.5)+((((DAY($Q33))*24)+(HOUR($Q33))+((MINUTE($Q33))/60))*Basisgegevens!$I$3*2)+Basisgegevens!$J$3,IF(Jan!$B33&lt;Basisgegevens!$H$5,((((DAY($O33))*24)+(HOUR($O33))+((MINUTE($O33))/60))*Basisgegevens!$I$4)+((((DAY($P33))*24)+(HOUR($P33))+((MINUTE($P33))/60))*Basisgegevens!$I$4*1.5)+((((DAY($Q33))*24)+(HOUR($Q33))+((MINUTE($Q33))/60))*Basisgegevens!$I$4*2)+Basisgegevens!$J$4,((((DAY($O33))*24)+(HOUR($O33))+((MINUTE($O33))/60))*Basisgegevens!$I$5)+((((DAY($P33))*24)+(HOUR($P33))+((MINUTE($P33))/60))*Basisgegevens!$I$5*1.5)+((((DAY($Q33))*24)+(HOUR($Q33))+((MINUTE($Q33))/60))*Basisgegevens!$I$5*2)+Basisgegevens!$J$5)))</f>
        <v/>
      </c>
      <c r="Y33" s="31" t="str">
        <f>IF($D33="","",IF($B33&lt;Basisgegevens!$H$4,((((DAY($O33))*24)+(HOUR($O33))+((MINUTE($O33))/60))*Basisgegevens!$K$3)+((((DAY($P33))*24)+(HOUR($P33))+((MINUTE($P33))/60))*Basisgegevens!$K$3*1.5)+((((DAY($Q33))*24)+(HOUR($Q33))+((MINUTE($Q33))/60))*Basisgegevens!$K$3*2)+Basisgegevens!$L$3,IF(Jan!$B33&lt;Basisgegevens!$H$5,((((DAY($O33))*24)+(HOUR($O33))+((MINUTE($O33))/60))*Basisgegevens!$K$4)+((((DAY($P33))*24)+(HOUR($P33))+((MINUTE($P33))/60))*Basisgegevens!$K$4*1.5)+((((DAY($Q33))*24)+(HOUR($Q33))+((MINUTE($Q33))/60))*Basisgegevens!$K$4*2)+Basisgegevens!$L$4,((((DAY($O33))*24)+(HOUR($O33))+((MINUTE($O33))/60))*Basisgegevens!$K$5)+((((DAY($P33))*24)+(HOUR($P33))+((MINUTE($P33))/60))*Basisgegevens!$K$5*1.5)+((((DAY($Q33))*24)+(HOUR($Q33))+((MINUTE($Q33))/60))*Basisgegevens!$K$5*2)+Basisgegevens!$L$5)))</f>
        <v/>
      </c>
      <c r="Z33" s="309"/>
      <c r="AA33" s="309"/>
      <c r="AB33" s="309"/>
      <c r="AC33" s="309"/>
      <c r="AE33" s="4">
        <f t="shared" si="6"/>
        <v>0</v>
      </c>
    </row>
    <row r="34" spans="1:31" x14ac:dyDescent="0.25">
      <c r="A34" s="2"/>
      <c r="B34" s="8"/>
      <c r="C34" s="8"/>
      <c r="D34" s="5"/>
      <c r="E34" s="5"/>
      <c r="F34" s="5"/>
      <c r="G34" s="5"/>
      <c r="H34" s="5"/>
      <c r="I34" s="5"/>
      <c r="K34" s="3"/>
      <c r="L34" s="3"/>
      <c r="M34" s="3"/>
      <c r="N34" s="44"/>
      <c r="O34" s="3"/>
      <c r="P34" s="6"/>
      <c r="Q34" s="7"/>
      <c r="R34" s="31"/>
      <c r="S34" s="31"/>
      <c r="T34" s="4"/>
      <c r="W34" s="230"/>
      <c r="Z34" s="309"/>
      <c r="AA34" s="309"/>
      <c r="AB34" s="309"/>
      <c r="AC34" s="309"/>
    </row>
    <row r="35" spans="1:31" x14ac:dyDescent="0.25">
      <c r="A35" s="14"/>
      <c r="B35" s="2"/>
      <c r="C35" s="2"/>
      <c r="D35" s="80"/>
      <c r="E35" s="80"/>
      <c r="F35" s="80"/>
      <c r="H35" s="80"/>
      <c r="I35" s="93" t="s">
        <v>15</v>
      </c>
      <c r="J35" s="190"/>
      <c r="K35" s="17">
        <f t="shared" ref="K35:Y35" si="16">SUM(K3:K33)</f>
        <v>0</v>
      </c>
      <c r="L35" s="98">
        <f t="shared" si="16"/>
        <v>0</v>
      </c>
      <c r="M35" s="89">
        <f t="shared" si="16"/>
        <v>0</v>
      </c>
      <c r="N35" s="76">
        <f t="shared" si="16"/>
        <v>0</v>
      </c>
      <c r="O35" s="17">
        <f t="shared" si="16"/>
        <v>0</v>
      </c>
      <c r="P35" s="15">
        <f t="shared" si="16"/>
        <v>0</v>
      </c>
      <c r="Q35" s="16">
        <f t="shared" si="16"/>
        <v>0</v>
      </c>
      <c r="R35" s="155">
        <f t="shared" si="16"/>
        <v>0</v>
      </c>
      <c r="S35" s="155">
        <f t="shared" ref="S35" si="17">SUM(S3:S33)</f>
        <v>0</v>
      </c>
      <c r="T35" s="31"/>
      <c r="U35" s="141"/>
      <c r="V35" s="31"/>
      <c r="W35" s="233"/>
      <c r="X35" s="32">
        <f t="shared" si="16"/>
        <v>0</v>
      </c>
      <c r="Y35" s="32">
        <f t="shared" si="16"/>
        <v>0</v>
      </c>
      <c r="Z35" s="309"/>
      <c r="AA35" s="309"/>
      <c r="AB35" s="309"/>
      <c r="AC35" s="309"/>
      <c r="AE35" s="4">
        <f>SUM(AE3:AE33)</f>
        <v>0</v>
      </c>
    </row>
    <row r="36" spans="1:31" x14ac:dyDescent="0.25">
      <c r="A36" s="41"/>
      <c r="B36" s="41"/>
      <c r="C36" s="41"/>
      <c r="D36" s="41"/>
      <c r="E36" s="41"/>
      <c r="F36" s="41"/>
      <c r="G36" s="41"/>
      <c r="H36" s="41"/>
      <c r="I36" s="41"/>
      <c r="K36" s="41"/>
      <c r="L36" s="84"/>
      <c r="M36" s="306" t="s">
        <v>112</v>
      </c>
      <c r="N36" s="307"/>
      <c r="O36" s="41"/>
      <c r="P36" s="88"/>
      <c r="Q36" s="43"/>
      <c r="R36" s="293">
        <f>R35+S35</f>
        <v>0</v>
      </c>
      <c r="S36" s="294"/>
      <c r="T36" s="41"/>
      <c r="V36" s="41"/>
      <c r="W36" s="232"/>
      <c r="X36" s="41"/>
      <c r="Y36" s="41"/>
      <c r="Z36" s="309"/>
      <c r="AA36" s="309"/>
      <c r="AB36" s="309"/>
      <c r="AC36" s="309"/>
    </row>
    <row r="37" spans="1:31" x14ac:dyDescent="0.25">
      <c r="A37" s="41"/>
      <c r="B37" s="41"/>
      <c r="C37" s="41"/>
      <c r="D37" s="41"/>
      <c r="E37" s="80"/>
      <c r="F37" s="80"/>
      <c r="G37" s="41"/>
      <c r="H37" s="41"/>
      <c r="I37" s="41"/>
      <c r="K37" s="41"/>
      <c r="L37" s="79"/>
      <c r="M37" s="292" t="s">
        <v>111</v>
      </c>
      <c r="N37" s="292"/>
      <c r="O37" s="84"/>
      <c r="P37" s="84"/>
      <c r="Q37" s="80"/>
      <c r="R37" s="293"/>
      <c r="S37" s="294"/>
      <c r="T37" s="100"/>
      <c r="V37" s="41"/>
      <c r="W37" s="232"/>
      <c r="X37" s="41"/>
      <c r="Y37" s="41"/>
      <c r="Z37" s="309"/>
      <c r="AA37" s="309"/>
      <c r="AB37" s="309"/>
      <c r="AC37" s="309"/>
    </row>
    <row r="38" spans="1:31" x14ac:dyDescent="0.25">
      <c r="A38" s="41"/>
      <c r="B38" s="41"/>
      <c r="C38" s="41"/>
      <c r="D38" s="41"/>
      <c r="E38" s="80"/>
      <c r="F38" s="80"/>
      <c r="G38" s="80"/>
      <c r="H38" s="41"/>
      <c r="I38" s="41"/>
      <c r="K38" s="80"/>
      <c r="L38" s="79"/>
      <c r="M38" s="292" t="s">
        <v>113</v>
      </c>
      <c r="N38" s="292"/>
      <c r="O38" s="41"/>
      <c r="P38" s="88"/>
      <c r="Q38" s="43"/>
      <c r="R38" s="293">
        <f>((R36*Basisgegevens!D44)-(R37*Basisgegevens!D47))/Basisgegevens!D44</f>
        <v>0</v>
      </c>
      <c r="S38" s="294"/>
      <c r="T38" s="100"/>
      <c r="V38" s="41"/>
      <c r="W38" s="232"/>
      <c r="X38" s="41"/>
      <c r="Y38" s="41"/>
      <c r="Z38" s="309"/>
      <c r="AA38" s="309"/>
      <c r="AB38" s="309"/>
      <c r="AC38" s="309"/>
    </row>
    <row r="39" spans="1:31" x14ac:dyDescent="0.25">
      <c r="A39" s="41"/>
      <c r="B39" s="41"/>
      <c r="C39" s="41"/>
      <c r="D39" s="41"/>
      <c r="E39" s="80"/>
      <c r="F39" s="80"/>
      <c r="G39" s="41"/>
      <c r="H39" s="41"/>
      <c r="I39" s="41"/>
      <c r="K39" s="41"/>
      <c r="L39" s="79"/>
      <c r="M39" s="4"/>
      <c r="O39" s="41"/>
      <c r="P39" s="88"/>
      <c r="Q39" s="43"/>
      <c r="R39" s="41"/>
      <c r="S39" s="41"/>
      <c r="T39" s="100"/>
      <c r="V39" s="41"/>
      <c r="W39" s="41"/>
      <c r="X39" s="41"/>
      <c r="Y39" s="41"/>
      <c r="Z39" s="41"/>
    </row>
    <row r="40" spans="1:31" x14ac:dyDescent="0.25">
      <c r="A40" s="41"/>
      <c r="B40" s="41"/>
      <c r="C40" s="41"/>
      <c r="D40" s="41"/>
      <c r="E40" s="41"/>
      <c r="F40" s="41"/>
      <c r="G40" s="41"/>
      <c r="H40" s="41"/>
      <c r="I40" s="41"/>
      <c r="K40" s="41"/>
      <c r="L40" s="41"/>
      <c r="O40" s="41"/>
      <c r="P40" s="88"/>
      <c r="Q40" s="43"/>
      <c r="R40" s="41"/>
      <c r="S40" s="41"/>
      <c r="T40" s="100"/>
      <c r="V40" s="41"/>
      <c r="W40" s="41"/>
      <c r="X40" s="41"/>
      <c r="Y40" s="41"/>
      <c r="Z40" s="41"/>
    </row>
    <row r="41" spans="1:31" x14ac:dyDescent="0.25">
      <c r="A41" s="41"/>
      <c r="B41" s="41"/>
      <c r="C41" s="41"/>
      <c r="D41" s="41"/>
      <c r="E41" s="41"/>
      <c r="F41" s="41"/>
      <c r="G41" s="41"/>
      <c r="H41" s="41"/>
      <c r="I41" s="41"/>
      <c r="K41" s="41"/>
      <c r="L41" s="79"/>
      <c r="O41" s="41"/>
      <c r="P41" s="41"/>
      <c r="Q41" s="41"/>
      <c r="R41" s="41"/>
      <c r="S41" s="41"/>
      <c r="T41" s="100"/>
      <c r="V41" s="41"/>
      <c r="W41" s="41"/>
      <c r="X41" s="41"/>
      <c r="Y41" s="41"/>
      <c r="Z41" s="41"/>
    </row>
    <row r="42" spans="1:31" x14ac:dyDescent="0.25">
      <c r="A42" s="41"/>
      <c r="B42" s="41"/>
      <c r="C42" s="41"/>
      <c r="D42" s="41"/>
      <c r="E42" s="41"/>
      <c r="F42" s="41"/>
      <c r="G42" s="41"/>
      <c r="H42" s="41"/>
      <c r="I42" s="41"/>
      <c r="K42" s="41"/>
      <c r="L42" s="78"/>
      <c r="O42" s="41"/>
      <c r="P42" s="88"/>
      <c r="Q42" s="43"/>
      <c r="R42" s="41"/>
      <c r="S42" s="41"/>
      <c r="T42" s="100"/>
      <c r="V42" s="41"/>
      <c r="W42" s="41"/>
      <c r="X42" s="41"/>
      <c r="Y42" s="41"/>
      <c r="Z42" s="41"/>
    </row>
    <row r="43" spans="1:31" x14ac:dyDescent="0.25">
      <c r="A43" s="41"/>
      <c r="B43" s="41"/>
      <c r="C43" s="41"/>
      <c r="D43" s="41"/>
      <c r="E43" s="41"/>
      <c r="F43" s="41"/>
      <c r="G43" s="41"/>
      <c r="H43" s="41"/>
      <c r="I43" s="41"/>
      <c r="K43" s="41"/>
      <c r="L43" s="80"/>
      <c r="O43" s="41"/>
      <c r="P43" s="88"/>
      <c r="Q43" s="43"/>
      <c r="R43" s="41"/>
      <c r="S43" s="41"/>
      <c r="T43" s="100"/>
      <c r="V43" s="41"/>
      <c r="W43" s="41"/>
      <c r="X43" s="41"/>
      <c r="Y43" s="41"/>
      <c r="Z43" s="41"/>
    </row>
    <row r="44" spans="1:31" x14ac:dyDescent="0.25">
      <c r="A44" s="41"/>
      <c r="B44" s="41"/>
      <c r="C44" s="41"/>
      <c r="D44" s="41"/>
      <c r="E44" s="41"/>
      <c r="F44" s="41"/>
      <c r="G44" s="41"/>
      <c r="H44" s="41"/>
      <c r="I44" s="41"/>
      <c r="K44" s="41"/>
      <c r="L44" s="80"/>
      <c r="M44" s="4"/>
      <c r="O44" s="41"/>
      <c r="P44" s="88"/>
      <c r="Q44" s="43"/>
      <c r="R44" s="41"/>
      <c r="S44" s="41"/>
      <c r="T44" s="100"/>
      <c r="V44" s="41"/>
      <c r="W44" s="41"/>
      <c r="X44" s="41"/>
      <c r="Y44" s="41"/>
      <c r="Z44" s="41"/>
    </row>
    <row r="45" spans="1:31" x14ac:dyDescent="0.25">
      <c r="A45" s="41"/>
      <c r="B45" s="41"/>
      <c r="C45" s="41"/>
      <c r="D45" s="41"/>
      <c r="E45" s="41"/>
      <c r="F45" s="41"/>
      <c r="G45" s="41"/>
      <c r="H45" s="41"/>
      <c r="I45" s="41"/>
      <c r="K45" s="41"/>
      <c r="L45" s="80"/>
      <c r="M45" s="4"/>
      <c r="O45" s="41"/>
      <c r="P45" s="88"/>
      <c r="Q45" s="43"/>
      <c r="R45" s="41"/>
      <c r="S45" s="41"/>
      <c r="T45" s="100"/>
      <c r="V45" s="41"/>
      <c r="W45" s="41"/>
      <c r="X45" s="41"/>
      <c r="Y45" s="41"/>
      <c r="Z45" s="41"/>
    </row>
    <row r="46" spans="1:31" x14ac:dyDescent="0.25">
      <c r="A46" s="41"/>
      <c r="B46" s="41"/>
      <c r="C46" s="41"/>
      <c r="D46" s="41"/>
      <c r="E46" s="41"/>
      <c r="F46" s="41"/>
      <c r="G46" s="41"/>
      <c r="H46" s="41"/>
      <c r="I46" s="41"/>
      <c r="K46" s="41"/>
      <c r="L46" s="80"/>
      <c r="O46" s="41"/>
      <c r="P46" s="88"/>
      <c r="Q46" s="43"/>
      <c r="R46" s="41"/>
      <c r="S46" s="41"/>
      <c r="T46" s="100"/>
      <c r="V46" s="41"/>
      <c r="W46" s="41"/>
      <c r="X46" s="41"/>
      <c r="Y46" s="41"/>
      <c r="Z46" s="41"/>
    </row>
    <row r="47" spans="1:31" x14ac:dyDescent="0.25">
      <c r="A47" s="41"/>
      <c r="B47" s="41"/>
      <c r="C47" s="41"/>
      <c r="D47" s="41"/>
      <c r="E47" s="41"/>
      <c r="F47" s="41"/>
      <c r="G47" s="41"/>
      <c r="H47" s="41"/>
      <c r="I47" s="41"/>
      <c r="K47" s="41"/>
      <c r="L47" s="80"/>
      <c r="O47" s="41"/>
      <c r="P47" s="88"/>
      <c r="Q47" s="43"/>
      <c r="R47" s="41"/>
      <c r="S47" s="41"/>
      <c r="T47" s="100"/>
      <c r="V47" s="41"/>
      <c r="W47" s="41"/>
      <c r="X47" s="41"/>
      <c r="Y47" s="41"/>
      <c r="Z47" s="41"/>
    </row>
    <row r="48" spans="1:31" x14ac:dyDescent="0.25">
      <c r="A48" s="41"/>
      <c r="B48" s="41"/>
      <c r="C48" s="41"/>
      <c r="D48" s="41"/>
      <c r="E48" s="41"/>
      <c r="F48" s="41"/>
      <c r="G48" s="41"/>
      <c r="H48" s="41"/>
      <c r="I48" s="41"/>
      <c r="K48" s="41"/>
      <c r="L48" s="80"/>
      <c r="O48" s="41"/>
      <c r="P48" s="88"/>
      <c r="Q48" s="43"/>
      <c r="R48" s="41"/>
      <c r="S48" s="41"/>
      <c r="T48" s="100"/>
      <c r="V48" s="41"/>
      <c r="W48" s="41"/>
      <c r="X48" s="41"/>
      <c r="Y48" s="41"/>
      <c r="Z48" s="41"/>
    </row>
    <row r="49" spans="1:26" x14ac:dyDescent="0.25">
      <c r="A49" s="41"/>
      <c r="B49" s="41"/>
      <c r="C49" s="41"/>
      <c r="D49" s="41"/>
      <c r="E49" s="41"/>
      <c r="F49" s="41"/>
      <c r="G49" s="41"/>
      <c r="H49" s="41"/>
      <c r="I49" s="41"/>
      <c r="K49" s="41"/>
      <c r="L49" s="80"/>
      <c r="O49" s="41"/>
      <c r="P49" s="88"/>
      <c r="Q49" s="43"/>
      <c r="R49" s="41"/>
      <c r="S49" s="41"/>
      <c r="T49" s="100"/>
      <c r="V49" s="41"/>
      <c r="W49" s="41"/>
      <c r="X49" s="41"/>
      <c r="Y49" s="41"/>
      <c r="Z49" s="41"/>
    </row>
    <row r="50" spans="1:26" x14ac:dyDescent="0.25">
      <c r="A50" s="41"/>
      <c r="B50" s="41"/>
      <c r="C50" s="41"/>
      <c r="D50" s="41"/>
      <c r="E50" s="41"/>
      <c r="F50" s="41"/>
      <c r="G50" s="41"/>
      <c r="H50" s="41"/>
      <c r="I50" s="41"/>
      <c r="K50" s="41"/>
      <c r="L50" s="80"/>
      <c r="O50" s="41"/>
      <c r="P50" s="88"/>
      <c r="Q50" s="43"/>
      <c r="R50" s="41"/>
      <c r="S50" s="41"/>
      <c r="T50" s="100"/>
      <c r="V50" s="41"/>
      <c r="W50" s="41"/>
      <c r="X50" s="41"/>
      <c r="Y50" s="41"/>
      <c r="Z50" s="41"/>
    </row>
    <row r="51" spans="1:26" x14ac:dyDescent="0.25">
      <c r="A51" s="41"/>
      <c r="B51" s="41"/>
      <c r="C51" s="41"/>
      <c r="D51" s="41"/>
      <c r="E51" s="41"/>
      <c r="F51" s="41"/>
      <c r="G51" s="41"/>
      <c r="H51" s="41"/>
      <c r="I51" s="41"/>
      <c r="K51" s="41"/>
      <c r="L51" s="80"/>
      <c r="O51" s="41"/>
      <c r="P51" s="88"/>
      <c r="Q51" s="43"/>
      <c r="R51" s="41"/>
      <c r="S51" s="41"/>
      <c r="T51" s="100"/>
      <c r="V51" s="41"/>
      <c r="W51" s="41"/>
      <c r="X51" s="41"/>
      <c r="Y51" s="41"/>
      <c r="Z51" s="41"/>
    </row>
    <row r="52" spans="1:26" x14ac:dyDescent="0.25">
      <c r="A52" s="41"/>
      <c r="B52" s="41"/>
      <c r="C52" s="41"/>
      <c r="D52" s="41"/>
      <c r="E52" s="41"/>
      <c r="F52" s="41"/>
      <c r="G52" s="41"/>
      <c r="H52" s="41"/>
      <c r="I52" s="41"/>
      <c r="K52" s="41"/>
      <c r="L52" s="80"/>
      <c r="O52" s="41"/>
      <c r="P52" s="88"/>
      <c r="Q52" s="43"/>
      <c r="R52" s="41"/>
      <c r="S52" s="41"/>
      <c r="T52" s="100"/>
      <c r="V52" s="41"/>
      <c r="W52" s="41"/>
      <c r="X52" s="41"/>
      <c r="Y52" s="41"/>
      <c r="Z52" s="41"/>
    </row>
    <row r="53" spans="1:26" x14ac:dyDescent="0.25">
      <c r="A53" s="41"/>
      <c r="B53" s="41"/>
      <c r="C53" s="41"/>
      <c r="D53" s="41"/>
      <c r="E53" s="41"/>
      <c r="F53" s="41"/>
      <c r="G53" s="41"/>
      <c r="H53" s="41"/>
      <c r="I53" s="41"/>
      <c r="K53" s="41"/>
      <c r="L53" s="80"/>
      <c r="O53" s="41"/>
      <c r="P53" s="88"/>
      <c r="Q53" s="43"/>
      <c r="R53" s="41"/>
      <c r="S53" s="41"/>
      <c r="T53" s="100"/>
      <c r="V53" s="41"/>
      <c r="W53" s="41"/>
      <c r="X53" s="41"/>
      <c r="Y53" s="41"/>
      <c r="Z53" s="41"/>
    </row>
    <row r="54" spans="1:26" x14ac:dyDescent="0.25">
      <c r="A54" s="41"/>
      <c r="B54" s="41"/>
      <c r="C54" s="41"/>
      <c r="D54" s="41"/>
      <c r="E54" s="41"/>
      <c r="F54" s="41"/>
      <c r="G54" s="41"/>
      <c r="H54" s="41"/>
      <c r="I54" s="41"/>
      <c r="K54" s="41"/>
      <c r="L54" s="80"/>
      <c r="O54" s="41"/>
      <c r="P54" s="88"/>
      <c r="Q54" s="43"/>
      <c r="R54" s="41"/>
      <c r="S54" s="41"/>
      <c r="T54" s="100"/>
      <c r="V54" s="41"/>
      <c r="W54" s="41"/>
      <c r="X54" s="41"/>
      <c r="Y54" s="41"/>
      <c r="Z54" s="41"/>
    </row>
    <row r="55" spans="1:26" x14ac:dyDescent="0.25">
      <c r="A55" s="41"/>
      <c r="B55" s="41"/>
      <c r="C55" s="41"/>
      <c r="D55" s="41"/>
      <c r="E55" s="41"/>
      <c r="F55" s="41"/>
      <c r="G55" s="41"/>
      <c r="H55" s="41"/>
      <c r="I55" s="41"/>
      <c r="K55" s="41"/>
      <c r="L55" s="80"/>
      <c r="O55" s="41"/>
      <c r="P55" s="88"/>
      <c r="Q55" s="43"/>
      <c r="R55" s="41"/>
      <c r="S55" s="41"/>
      <c r="T55" s="100"/>
      <c r="V55" s="41"/>
      <c r="W55" s="41"/>
      <c r="X55" s="41"/>
      <c r="Y55" s="41"/>
      <c r="Z55" s="41"/>
    </row>
    <row r="56" spans="1:26" x14ac:dyDescent="0.25">
      <c r="A56" s="41"/>
      <c r="B56" s="41"/>
      <c r="C56" s="41"/>
      <c r="D56" s="41"/>
      <c r="E56" s="41"/>
      <c r="F56" s="41"/>
      <c r="G56" s="41"/>
      <c r="H56" s="41"/>
      <c r="I56" s="41"/>
      <c r="K56" s="41"/>
      <c r="L56" s="80"/>
      <c r="O56" s="41"/>
      <c r="P56" s="88"/>
      <c r="Q56" s="43"/>
      <c r="R56" s="41"/>
      <c r="S56" s="41"/>
      <c r="T56" s="100"/>
      <c r="V56" s="41"/>
      <c r="W56" s="41"/>
      <c r="X56" s="41"/>
      <c r="Y56" s="41"/>
      <c r="Z56" s="41"/>
    </row>
    <row r="57" spans="1:26" x14ac:dyDescent="0.25">
      <c r="A57" s="41"/>
      <c r="B57" s="41"/>
      <c r="C57" s="41"/>
      <c r="D57" s="41"/>
      <c r="E57" s="41"/>
      <c r="F57" s="41"/>
      <c r="G57" s="41"/>
      <c r="H57" s="41"/>
      <c r="I57" s="41"/>
      <c r="K57" s="41"/>
      <c r="L57" s="80"/>
      <c r="O57" s="41"/>
      <c r="P57" s="88"/>
      <c r="Q57" s="43"/>
      <c r="R57" s="41"/>
      <c r="S57" s="41"/>
      <c r="T57" s="100"/>
      <c r="V57" s="41"/>
      <c r="W57" s="41"/>
      <c r="X57" s="41"/>
      <c r="Y57" s="41"/>
      <c r="Z57" s="41"/>
    </row>
    <row r="58" spans="1:26" x14ac:dyDescent="0.25">
      <c r="A58" s="41"/>
      <c r="B58" s="41"/>
      <c r="C58" s="41"/>
      <c r="D58" s="41"/>
      <c r="E58" s="41"/>
      <c r="F58" s="41"/>
      <c r="G58" s="41"/>
      <c r="H58" s="41"/>
      <c r="I58" s="41"/>
      <c r="K58" s="41"/>
      <c r="L58" s="80"/>
      <c r="O58" s="41"/>
      <c r="P58" s="88"/>
      <c r="Q58" s="43"/>
      <c r="R58" s="41"/>
      <c r="S58" s="41"/>
      <c r="T58" s="100"/>
      <c r="V58" s="41"/>
      <c r="W58" s="41"/>
      <c r="X58" s="41"/>
      <c r="Y58" s="41"/>
      <c r="Z58" s="41"/>
    </row>
    <row r="59" spans="1:26" x14ac:dyDescent="0.25">
      <c r="A59" s="41"/>
      <c r="B59" s="41"/>
      <c r="C59" s="41"/>
      <c r="D59" s="41"/>
      <c r="E59" s="41"/>
      <c r="F59" s="41"/>
      <c r="G59" s="41"/>
      <c r="H59" s="41"/>
      <c r="I59" s="41"/>
      <c r="K59" s="41"/>
      <c r="L59" s="80"/>
      <c r="O59" s="41"/>
      <c r="P59" s="88"/>
      <c r="Q59" s="43"/>
      <c r="R59" s="41"/>
      <c r="S59" s="41"/>
      <c r="T59" s="100"/>
      <c r="V59" s="41"/>
      <c r="W59" s="41"/>
      <c r="X59" s="41"/>
      <c r="Y59" s="41"/>
      <c r="Z59" s="41"/>
    </row>
    <row r="60" spans="1:26" x14ac:dyDescent="0.25">
      <c r="A60" s="41"/>
      <c r="B60" s="41"/>
      <c r="C60" s="41"/>
      <c r="D60" s="41"/>
      <c r="E60" s="41"/>
      <c r="F60" s="41"/>
      <c r="G60" s="41"/>
      <c r="H60" s="41"/>
      <c r="I60" s="41"/>
      <c r="K60" s="41"/>
      <c r="L60" s="80"/>
      <c r="O60" s="41"/>
      <c r="P60" s="88"/>
      <c r="Q60" s="43"/>
      <c r="R60" s="41"/>
      <c r="S60" s="41"/>
      <c r="T60" s="100"/>
      <c r="V60" s="41"/>
      <c r="W60" s="41"/>
      <c r="X60" s="41"/>
      <c r="Y60" s="41"/>
      <c r="Z60" s="41"/>
    </row>
    <row r="61" spans="1:26" x14ac:dyDescent="0.25">
      <c r="A61" s="41"/>
      <c r="B61" s="41"/>
      <c r="C61" s="41"/>
      <c r="D61" s="41"/>
      <c r="E61" s="41"/>
      <c r="F61" s="41"/>
      <c r="G61" s="41"/>
      <c r="H61" s="41"/>
      <c r="I61" s="41"/>
      <c r="K61" s="41"/>
      <c r="L61" s="80"/>
      <c r="O61" s="41"/>
      <c r="P61" s="88"/>
      <c r="Q61" s="43"/>
      <c r="R61" s="41"/>
      <c r="S61" s="41"/>
      <c r="T61" s="100"/>
      <c r="V61" s="41"/>
      <c r="W61" s="41"/>
      <c r="X61" s="41"/>
      <c r="Y61" s="41"/>
      <c r="Z61" s="41"/>
    </row>
    <row r="62" spans="1:26" x14ac:dyDescent="0.25">
      <c r="A62" s="41"/>
      <c r="B62" s="41"/>
      <c r="C62" s="41"/>
      <c r="D62" s="41"/>
      <c r="E62" s="41"/>
      <c r="F62" s="41"/>
      <c r="G62" s="41"/>
      <c r="H62" s="41"/>
      <c r="I62" s="41"/>
      <c r="K62" s="41"/>
      <c r="L62" s="80"/>
      <c r="O62" s="41"/>
      <c r="P62" s="88"/>
      <c r="Q62" s="43"/>
      <c r="R62" s="41"/>
      <c r="S62" s="41"/>
      <c r="T62" s="100"/>
      <c r="V62" s="41"/>
      <c r="W62" s="41"/>
      <c r="X62" s="41"/>
      <c r="Y62" s="41"/>
      <c r="Z62" s="41"/>
    </row>
    <row r="63" spans="1:26" x14ac:dyDescent="0.25">
      <c r="A63" s="41"/>
      <c r="B63" s="41"/>
      <c r="C63" s="41"/>
      <c r="D63" s="41"/>
      <c r="E63" s="41"/>
      <c r="F63" s="41"/>
      <c r="G63" s="41"/>
      <c r="H63" s="41"/>
      <c r="I63" s="41"/>
      <c r="K63" s="41"/>
      <c r="L63" s="80"/>
      <c r="O63" s="41"/>
      <c r="P63" s="88"/>
      <c r="Q63" s="43"/>
      <c r="R63" s="41"/>
      <c r="S63" s="41"/>
      <c r="T63" s="100"/>
      <c r="V63" s="41"/>
      <c r="W63" s="41"/>
      <c r="X63" s="41"/>
      <c r="Y63" s="41"/>
      <c r="Z63" s="41"/>
    </row>
    <row r="64" spans="1:26" x14ac:dyDescent="0.25">
      <c r="A64" s="41"/>
      <c r="B64" s="41"/>
      <c r="C64" s="41"/>
      <c r="D64" s="41"/>
      <c r="E64" s="41"/>
      <c r="F64" s="41"/>
      <c r="G64" s="41"/>
      <c r="H64" s="41"/>
      <c r="I64" s="41"/>
      <c r="K64" s="41"/>
      <c r="L64" s="80"/>
      <c r="O64" s="41"/>
      <c r="P64" s="88"/>
      <c r="Q64" s="43"/>
      <c r="R64" s="41"/>
      <c r="S64" s="41"/>
      <c r="T64" s="100"/>
      <c r="V64" s="41"/>
      <c r="W64" s="41"/>
      <c r="X64" s="41"/>
      <c r="Y64" s="41"/>
      <c r="Z64" s="41"/>
    </row>
    <row r="65" spans="1:26" x14ac:dyDescent="0.25">
      <c r="A65" s="41"/>
      <c r="B65" s="41"/>
      <c r="C65" s="41"/>
      <c r="D65" s="41"/>
      <c r="E65" s="41"/>
      <c r="F65" s="41"/>
      <c r="G65" s="41"/>
      <c r="H65" s="41"/>
      <c r="I65" s="41"/>
      <c r="K65" s="41"/>
      <c r="L65" s="80"/>
      <c r="O65" s="41"/>
      <c r="P65" s="88"/>
      <c r="Q65" s="43"/>
      <c r="R65" s="41"/>
      <c r="S65" s="41"/>
      <c r="T65" s="100"/>
      <c r="V65" s="41"/>
      <c r="W65" s="41"/>
      <c r="X65" s="41"/>
      <c r="Y65" s="41"/>
      <c r="Z65" s="41"/>
    </row>
    <row r="66" spans="1:26" x14ac:dyDescent="0.25">
      <c r="A66" s="41"/>
      <c r="B66" s="41"/>
      <c r="C66" s="41"/>
      <c r="D66" s="41"/>
      <c r="E66" s="41"/>
      <c r="F66" s="41"/>
      <c r="G66" s="41"/>
      <c r="H66" s="41"/>
      <c r="I66" s="41"/>
      <c r="K66" s="41"/>
      <c r="L66" s="80"/>
      <c r="O66" s="41"/>
      <c r="P66" s="88"/>
      <c r="Q66" s="43"/>
      <c r="R66" s="41"/>
      <c r="S66" s="41"/>
      <c r="T66" s="100"/>
      <c r="V66" s="41"/>
      <c r="W66" s="41"/>
      <c r="X66" s="41"/>
      <c r="Y66" s="41"/>
      <c r="Z66" s="41"/>
    </row>
    <row r="67" spans="1:26" x14ac:dyDescent="0.25">
      <c r="A67" s="41"/>
      <c r="B67" s="41"/>
      <c r="C67" s="41"/>
      <c r="D67" s="41"/>
      <c r="E67" s="41"/>
      <c r="F67" s="41"/>
      <c r="G67" s="41"/>
      <c r="H67" s="41"/>
      <c r="I67" s="41"/>
      <c r="K67" s="41"/>
      <c r="L67" s="80"/>
      <c r="O67" s="41"/>
      <c r="P67" s="88"/>
      <c r="Q67" s="43"/>
      <c r="R67" s="41"/>
      <c r="S67" s="41"/>
      <c r="T67" s="100"/>
      <c r="V67" s="41"/>
      <c r="W67" s="41"/>
      <c r="X67" s="41"/>
      <c r="Y67" s="41"/>
      <c r="Z67" s="41"/>
    </row>
    <row r="68" spans="1:26" x14ac:dyDescent="0.25">
      <c r="A68" s="41"/>
      <c r="B68" s="41"/>
      <c r="C68" s="41"/>
      <c r="D68" s="41"/>
      <c r="E68" s="41"/>
      <c r="F68" s="41"/>
      <c r="G68" s="41"/>
      <c r="H68" s="41"/>
      <c r="I68" s="41"/>
      <c r="K68" s="41"/>
      <c r="L68" s="80"/>
      <c r="O68" s="41"/>
      <c r="P68" s="88"/>
      <c r="Q68" s="43"/>
      <c r="R68" s="41"/>
      <c r="S68" s="41"/>
      <c r="T68" s="100"/>
      <c r="V68" s="41"/>
      <c r="W68" s="41"/>
      <c r="X68" s="41"/>
      <c r="Y68" s="41"/>
      <c r="Z68" s="41"/>
    </row>
    <row r="69" spans="1:26" x14ac:dyDescent="0.25">
      <c r="A69" s="41"/>
      <c r="B69" s="41"/>
      <c r="C69" s="41"/>
      <c r="D69" s="41"/>
      <c r="E69" s="41"/>
      <c r="F69" s="41"/>
      <c r="G69" s="41"/>
      <c r="H69" s="41"/>
      <c r="I69" s="41"/>
      <c r="K69" s="41"/>
      <c r="L69" s="80"/>
      <c r="O69" s="41"/>
      <c r="P69" s="88"/>
      <c r="Q69" s="43"/>
      <c r="R69" s="41"/>
      <c r="S69" s="41"/>
      <c r="T69" s="100"/>
      <c r="V69" s="41"/>
      <c r="W69" s="41"/>
      <c r="X69" s="41"/>
      <c r="Y69" s="41"/>
      <c r="Z69" s="41"/>
    </row>
    <row r="70" spans="1:26" x14ac:dyDescent="0.25">
      <c r="A70" s="41"/>
      <c r="B70" s="41"/>
      <c r="C70" s="41"/>
      <c r="D70" s="41"/>
      <c r="E70" s="41"/>
      <c r="F70" s="41"/>
      <c r="G70" s="41"/>
      <c r="H70" s="41"/>
      <c r="I70" s="41"/>
      <c r="K70" s="41"/>
      <c r="L70" s="80"/>
      <c r="O70" s="41"/>
      <c r="P70" s="88"/>
      <c r="Q70" s="43"/>
      <c r="R70" s="41"/>
      <c r="S70" s="41"/>
      <c r="T70" s="100"/>
      <c r="V70" s="41"/>
      <c r="W70" s="41"/>
      <c r="X70" s="41"/>
      <c r="Y70" s="41"/>
      <c r="Z70" s="41"/>
    </row>
    <row r="71" spans="1:26" x14ac:dyDescent="0.25">
      <c r="A71" s="41"/>
      <c r="B71" s="41"/>
      <c r="C71" s="41"/>
      <c r="D71" s="41"/>
      <c r="E71" s="41"/>
      <c r="F71" s="41"/>
      <c r="G71" s="41"/>
      <c r="H71" s="41"/>
      <c r="I71" s="41"/>
      <c r="K71" s="41"/>
      <c r="L71" s="80"/>
      <c r="O71" s="41"/>
      <c r="P71" s="88"/>
      <c r="Q71" s="43"/>
      <c r="R71" s="41"/>
      <c r="S71" s="41"/>
      <c r="T71" s="100"/>
      <c r="V71" s="41"/>
      <c r="W71" s="41"/>
      <c r="X71" s="41"/>
      <c r="Y71" s="41"/>
      <c r="Z71" s="41"/>
    </row>
    <row r="72" spans="1:26" x14ac:dyDescent="0.25">
      <c r="A72" s="41"/>
      <c r="B72" s="41"/>
      <c r="C72" s="41"/>
      <c r="D72" s="41"/>
      <c r="E72" s="41"/>
      <c r="F72" s="41"/>
      <c r="G72" s="41"/>
      <c r="H72" s="41"/>
      <c r="I72" s="41"/>
      <c r="K72" s="41"/>
      <c r="L72" s="80"/>
      <c r="O72" s="41"/>
      <c r="P72" s="88"/>
      <c r="Q72" s="43"/>
      <c r="R72" s="41"/>
      <c r="S72" s="41"/>
      <c r="T72" s="100"/>
      <c r="V72" s="41"/>
      <c r="W72" s="41"/>
      <c r="X72" s="41"/>
      <c r="Y72" s="41"/>
      <c r="Z72" s="41"/>
    </row>
    <row r="73" spans="1:26" x14ac:dyDescent="0.25">
      <c r="A73" s="41"/>
      <c r="B73" s="41"/>
      <c r="C73" s="41"/>
      <c r="D73" s="41"/>
      <c r="E73" s="41"/>
      <c r="F73" s="41"/>
      <c r="G73" s="41"/>
      <c r="H73" s="41"/>
      <c r="I73" s="41"/>
      <c r="K73" s="41"/>
      <c r="L73" s="80"/>
      <c r="O73" s="41"/>
      <c r="P73" s="88"/>
      <c r="Q73" s="43"/>
      <c r="R73" s="41"/>
      <c r="S73" s="41"/>
      <c r="T73" s="100"/>
      <c r="V73" s="41"/>
      <c r="W73" s="41"/>
      <c r="X73" s="41"/>
      <c r="Y73" s="41"/>
      <c r="Z73" s="41"/>
    </row>
    <row r="74" spans="1:26" x14ac:dyDescent="0.25">
      <c r="A74" s="41"/>
      <c r="B74" s="41"/>
      <c r="C74" s="41"/>
      <c r="D74" s="41"/>
      <c r="E74" s="41"/>
      <c r="F74" s="41"/>
      <c r="G74" s="41"/>
      <c r="H74" s="41"/>
      <c r="I74" s="41"/>
      <c r="K74" s="41"/>
      <c r="L74" s="80"/>
      <c r="O74" s="41"/>
      <c r="P74" s="88"/>
      <c r="Q74" s="43"/>
      <c r="R74" s="41"/>
      <c r="S74" s="41"/>
      <c r="T74" s="100"/>
      <c r="V74" s="41"/>
      <c r="W74" s="41"/>
      <c r="X74" s="41"/>
      <c r="Y74" s="41"/>
      <c r="Z74" s="41"/>
    </row>
    <row r="75" spans="1:26" x14ac:dyDescent="0.25">
      <c r="A75" s="41"/>
      <c r="B75" s="41"/>
      <c r="C75" s="41"/>
      <c r="D75" s="41"/>
      <c r="E75" s="41"/>
      <c r="F75" s="41"/>
      <c r="G75" s="41"/>
      <c r="H75" s="41"/>
      <c r="I75" s="41"/>
      <c r="K75" s="41"/>
      <c r="L75" s="80"/>
      <c r="O75" s="41"/>
      <c r="P75" s="88"/>
      <c r="Q75" s="43"/>
      <c r="R75" s="41"/>
      <c r="S75" s="41"/>
      <c r="T75" s="100"/>
      <c r="V75" s="41"/>
      <c r="W75" s="41"/>
      <c r="X75" s="41"/>
      <c r="Y75" s="41"/>
      <c r="Z75" s="41"/>
    </row>
  </sheetData>
  <mergeCells count="17">
    <mergeCell ref="R36:S36"/>
    <mergeCell ref="J1:J2"/>
    <mergeCell ref="M1:N1"/>
    <mergeCell ref="M36:N36"/>
    <mergeCell ref="Z18:AC38"/>
    <mergeCell ref="M37:N37"/>
    <mergeCell ref="M38:N38"/>
    <mergeCell ref="R37:S37"/>
    <mergeCell ref="R38:S38"/>
    <mergeCell ref="A1:B2"/>
    <mergeCell ref="C1:G1"/>
    <mergeCell ref="T1:T2"/>
    <mergeCell ref="V1:V2"/>
    <mergeCell ref="W1:W2"/>
    <mergeCell ref="U1:U2"/>
    <mergeCell ref="K1:L1"/>
    <mergeCell ref="H1:I1"/>
  </mergeCells>
  <phoneticPr fontId="0" type="noConversion"/>
  <conditionalFormatting sqref="A3:W33">
    <cfRule type="expression" dxfId="7" priority="1" stopIfTrue="1">
      <formula>WEEKDAY($B3)=7</formula>
    </cfRule>
    <cfRule type="expression" dxfId="6" priority="2" stopIfTrue="1">
      <formula>WEEKDAY($B3)=1</formula>
    </cfRule>
  </conditionalFormatting>
  <dataValidations count="1">
    <dataValidation type="list" allowBlank="1" sqref="H3:H33" xr:uid="{00000000-0002-0000-0B00-000000000000}">
      <formula1>Speciale_dagen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63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Blad14">
    <pageSetUpPr fitToPage="1"/>
  </sheetPr>
  <dimension ref="A1:AA81"/>
  <sheetViews>
    <sheetView tabSelected="1" topLeftCell="A3" zoomScaleNormal="100" workbookViewId="0">
      <selection activeCell="D22" sqref="D22:G22"/>
    </sheetView>
  </sheetViews>
  <sheetFormatPr defaultColWidth="9" defaultRowHeight="15.75" x14ac:dyDescent="0.25"/>
  <cols>
    <col min="1" max="1" width="15.625" style="21" customWidth="1"/>
    <col min="2" max="3" width="12.625" style="22" customWidth="1"/>
    <col min="4" max="4" width="15.625" style="22" bestFit="1" customWidth="1"/>
    <col min="5" max="5" width="12.625" style="22" customWidth="1"/>
    <col min="6" max="8" width="16" style="22" bestFit="1" customWidth="1"/>
    <col min="9" max="9" width="11.625" style="22" customWidth="1"/>
    <col min="10" max="10" width="8.125" style="22" customWidth="1"/>
    <col min="11" max="14" width="8.125" style="23" customWidth="1"/>
    <col min="15" max="15" width="8" style="22" customWidth="1"/>
    <col min="16" max="27" width="8.125" style="22" customWidth="1"/>
    <col min="28" max="16384" width="9" style="22"/>
  </cols>
  <sheetData>
    <row r="1" spans="1:27" x14ac:dyDescent="0.25">
      <c r="A1" s="19" t="s">
        <v>19</v>
      </c>
      <c r="B1" s="24"/>
      <c r="C1" s="24"/>
      <c r="D1" s="24"/>
      <c r="F1"/>
      <c r="G1"/>
      <c r="H1"/>
      <c r="I1"/>
      <c r="J1" s="288"/>
      <c r="K1" s="289" t="s">
        <v>139</v>
      </c>
    </row>
    <row r="2" spans="1:27" ht="16.5" thickBot="1" x14ac:dyDescent="0.3">
      <c r="A2" s="19"/>
      <c r="B2" s="24"/>
      <c r="C2" s="24"/>
      <c r="D2" s="24"/>
      <c r="F2"/>
      <c r="G2"/>
      <c r="H2"/>
      <c r="I2"/>
      <c r="J2" s="25"/>
      <c r="K2" s="202"/>
      <c r="L2" s="202"/>
      <c r="V2" s="4"/>
    </row>
    <row r="3" spans="1:27" ht="16.5" thickBot="1" x14ac:dyDescent="0.3">
      <c r="A3" s="51"/>
      <c r="B3" s="266">
        <v>1</v>
      </c>
      <c r="C3" s="105" t="s">
        <v>2</v>
      </c>
      <c r="D3" s="109" t="s">
        <v>20</v>
      </c>
      <c r="E3" s="48" t="s">
        <v>21</v>
      </c>
      <c r="F3" s="101" t="s">
        <v>68</v>
      </c>
      <c r="G3" s="142" t="s">
        <v>5</v>
      </c>
      <c r="H3" s="142" t="s">
        <v>6</v>
      </c>
      <c r="I3" s="115"/>
      <c r="J3" s="263" t="s">
        <v>22</v>
      </c>
      <c r="K3" s="264" t="s">
        <v>18</v>
      </c>
      <c r="L3" s="264" t="s">
        <v>86</v>
      </c>
      <c r="M3" s="264" t="s">
        <v>23</v>
      </c>
      <c r="N3" s="128" t="s">
        <v>24</v>
      </c>
      <c r="O3" s="122" t="s">
        <v>25</v>
      </c>
      <c r="P3" s="122" t="s">
        <v>26</v>
      </c>
      <c r="Q3" s="122" t="s">
        <v>27</v>
      </c>
      <c r="R3" s="122" t="s">
        <v>28</v>
      </c>
      <c r="S3" s="286" t="s">
        <v>29</v>
      </c>
      <c r="T3" s="122" t="s">
        <v>30</v>
      </c>
      <c r="U3" s="122" t="s">
        <v>31</v>
      </c>
      <c r="V3" s="265" t="s">
        <v>32</v>
      </c>
      <c r="W3" s="122" t="s">
        <v>33</v>
      </c>
      <c r="X3" s="122" t="s">
        <v>34</v>
      </c>
      <c r="Y3" s="265" t="s">
        <v>17</v>
      </c>
      <c r="Z3" s="122" t="s">
        <v>35</v>
      </c>
      <c r="AA3" s="123" t="s">
        <v>16</v>
      </c>
    </row>
    <row r="4" spans="1:27" x14ac:dyDescent="0.25">
      <c r="A4" s="118" t="s">
        <v>36</v>
      </c>
      <c r="B4" s="49">
        <f>Jan!O$35</f>
        <v>0</v>
      </c>
      <c r="C4" s="106">
        <f>Jan!$P$35</f>
        <v>0</v>
      </c>
      <c r="D4" s="110">
        <f>Jan!Q35</f>
        <v>0</v>
      </c>
      <c r="E4" s="47">
        <f>B4+C4+D4</f>
        <v>0</v>
      </c>
      <c r="F4" s="102">
        <f>Jan!R35</f>
        <v>0</v>
      </c>
      <c r="G4" s="102">
        <f>Jan!X35</f>
        <v>0</v>
      </c>
      <c r="H4" s="102">
        <f>Jan!Y35</f>
        <v>0</v>
      </c>
      <c r="I4" s="119" t="s">
        <v>36</v>
      </c>
      <c r="J4" s="195">
        <f>SUMIF(Jan!$H$3:$H$33,J$3,Jan!$J$3:$J$33)</f>
        <v>0</v>
      </c>
      <c r="K4" s="130">
        <f>SUMIF(Jan!$H$3:$H$33,K$3,Jan!$I$3:$I$33)</f>
        <v>0</v>
      </c>
      <c r="L4" s="130">
        <f>SUMIF(Jan!$H$3:$H$33,L$3,Jan!$I$3:$I$33)</f>
        <v>0</v>
      </c>
      <c r="M4" s="130">
        <f>SUMIF(Jan!$H$3:$H$33,M$3,Jan!$I$3:$I$33)</f>
        <v>0</v>
      </c>
      <c r="N4" s="191">
        <f>SUMIF(Jan!$H$3:$H$33,N$3,Jan!$J$3:$J$33)</f>
        <v>0</v>
      </c>
      <c r="O4" s="130">
        <f>SUMIF(Jan!$H$3:$H$33,O$3,Jan!$I$3:$I$33)</f>
        <v>0</v>
      </c>
      <c r="P4" s="130">
        <f>SUMIF(Jan!$H$3:$H$33,P$3,Jan!$I$3:$I$33)</f>
        <v>0</v>
      </c>
      <c r="Q4" s="130">
        <f>SUMIF(Jan!$H$3:$H$33,Q$3,Jan!$I$3:$I$33)</f>
        <v>0</v>
      </c>
      <c r="R4" s="130">
        <f>SUMIF(Jan!$H$3:$H$33,R$3,Jan!$I$3:$I$33)</f>
        <v>0</v>
      </c>
      <c r="S4" s="130">
        <f>SUMIF(Jan!$H$3:$H$33,S$3,Jan!$I$3:$I$33)</f>
        <v>0</v>
      </c>
      <c r="T4" s="130">
        <f>SUMIF(Jan!$H$3:$H$33,T$3,Jan!$I$3:$I$33)</f>
        <v>0</v>
      </c>
      <c r="U4" s="130">
        <f>SUMIF(Jan!$H$3:$H$33,U$3,Jan!$I$3:$I$33)</f>
        <v>0</v>
      </c>
      <c r="V4" s="130">
        <f>SUMIF(Jan!$H$3:$H$33,V$3,Jan!$I$3:$I$33)</f>
        <v>0</v>
      </c>
      <c r="W4" s="130">
        <f>SUMIF(Jan!$H$3:$H$33,W$3,Jan!$I$3:$I$33)</f>
        <v>0</v>
      </c>
      <c r="X4" s="130">
        <f>SUMIF(Jan!$H$3:$H$33,X$3,Jan!$I$3:$I$33)</f>
        <v>0</v>
      </c>
      <c r="Y4" s="191">
        <f>SUMIF(Jan!$H$3:$H$33,Y$3,Jan!$J$3:$J$33)</f>
        <v>0</v>
      </c>
      <c r="Z4" s="130">
        <f>SUMIF(Jan!$H$3:$H$33,Z$3,Jan!$I$3:$I$33)</f>
        <v>0</v>
      </c>
      <c r="AA4" s="131">
        <f>SUMIF(Jan!$H$3:$H$33,AA$3,Jan!$I$3:$I$33)</f>
        <v>0</v>
      </c>
    </row>
    <row r="5" spans="1:27" x14ac:dyDescent="0.25">
      <c r="A5" s="116" t="s">
        <v>37</v>
      </c>
      <c r="B5" s="50">
        <f>Feb!O$33</f>
        <v>0</v>
      </c>
      <c r="C5" s="107">
        <f>Feb!P$33</f>
        <v>0</v>
      </c>
      <c r="D5" s="111">
        <f>Feb!Q33</f>
        <v>0</v>
      </c>
      <c r="E5" s="47">
        <f t="shared" ref="E5:E15" si="0">B5+C5+D5</f>
        <v>0</v>
      </c>
      <c r="F5" s="103">
        <f>Feb!R33</f>
        <v>0</v>
      </c>
      <c r="G5" s="103">
        <f>Feb!X33</f>
        <v>0</v>
      </c>
      <c r="H5" s="103">
        <f>Feb!Y33</f>
        <v>0</v>
      </c>
      <c r="I5" s="120" t="s">
        <v>37</v>
      </c>
      <c r="J5" s="196">
        <f>SUMIF(Feb!$H$3:$H$31,J$3,Feb!$J$3:$J$31)</f>
        <v>0</v>
      </c>
      <c r="K5" s="132">
        <f>SUMIF(Feb!$H$3:$H$31,K$3,Feb!$I$3:$I$31)</f>
        <v>0</v>
      </c>
      <c r="L5" s="132">
        <f>SUMIF(Feb!$H$3:$H$31,L$3,Feb!$I$3:$I$31)</f>
        <v>0</v>
      </c>
      <c r="M5" s="132">
        <f>SUMIF(Feb!$H$3:$H$31,M$3,Feb!$I$3:$I$31)</f>
        <v>0</v>
      </c>
      <c r="N5" s="192">
        <f>SUMIF(Feb!$H$3:$H$31,N$3,Feb!$J$3:$J$31)</f>
        <v>0</v>
      </c>
      <c r="O5" s="132">
        <f>SUMIF(Feb!$H$3:$H$31,O$3,Feb!$I$3:$I$31)</f>
        <v>0</v>
      </c>
      <c r="P5" s="132">
        <f>SUMIF(Feb!$H$3:$H$31,P$3,Feb!$I$3:$I$31)</f>
        <v>0</v>
      </c>
      <c r="Q5" s="132">
        <f>SUMIF(Feb!$H$3:$H$31,Q$3,Feb!$I$3:$I$31)</f>
        <v>0</v>
      </c>
      <c r="R5" s="132">
        <f>SUMIF(Feb!$H$3:$H$31,R$3,Feb!$I$3:$I$31)</f>
        <v>0</v>
      </c>
      <c r="S5" s="132">
        <f>SUMIF(Feb!$H$3:$H$31,S$3,Feb!$I$3:$I$31)</f>
        <v>0</v>
      </c>
      <c r="T5" s="132">
        <f>SUMIF(Feb!$H$3:$H$31,T$3,Feb!$I$3:$I$31)</f>
        <v>0</v>
      </c>
      <c r="U5" s="132">
        <f>SUMIF(Feb!$H$3:$H$31,U$3,Feb!$I$3:$I$31)</f>
        <v>0</v>
      </c>
      <c r="V5" s="132">
        <f>SUMIF(Feb!$H$3:$H$31,V$3,Feb!$I$3:$I$31)</f>
        <v>0</v>
      </c>
      <c r="W5" s="132">
        <f>SUMIF(Feb!$H$3:$H$31,W$3,Feb!$I$3:$I$31)</f>
        <v>0</v>
      </c>
      <c r="X5" s="132">
        <f>SUMIF(Feb!$H$3:$H$31,X$3,Feb!$I$3:$I$31)</f>
        <v>0</v>
      </c>
      <c r="Y5" s="192">
        <f>SUMIF(Feb!$H$3:$H$31,Y$3,Feb!$J$3:$J$31)</f>
        <v>0</v>
      </c>
      <c r="Z5" s="132">
        <f>SUMIF(Feb!$H$3:$H$31,Z$3,Feb!$I$3:$I$31)</f>
        <v>0</v>
      </c>
      <c r="AA5" s="133">
        <f>SUMIF(Feb!$H$3:$H$31,AA$3,Feb!$I$3:$I$31)</f>
        <v>0</v>
      </c>
    </row>
    <row r="6" spans="1:27" x14ac:dyDescent="0.25">
      <c r="A6" s="116" t="s">
        <v>38</v>
      </c>
      <c r="B6" s="50">
        <f>Maa!O$35</f>
        <v>0</v>
      </c>
      <c r="C6" s="107">
        <f>Maa!$P$35</f>
        <v>0</v>
      </c>
      <c r="D6" s="111">
        <f>Maa!Q35</f>
        <v>0</v>
      </c>
      <c r="E6" s="47">
        <f t="shared" si="0"/>
        <v>0</v>
      </c>
      <c r="F6" s="103">
        <f>Maa!R35</f>
        <v>0</v>
      </c>
      <c r="G6" s="103">
        <f>Maa!X35</f>
        <v>0</v>
      </c>
      <c r="H6" s="103">
        <f>Maa!Y35</f>
        <v>0</v>
      </c>
      <c r="I6" s="120" t="s">
        <v>38</v>
      </c>
      <c r="J6" s="196">
        <f>SUMIF(Maa!$H$3:$H$33,J$3,Maa!$J$3:$J$33)</f>
        <v>0</v>
      </c>
      <c r="K6" s="132">
        <f>SUMIF(Maa!$H$3:$H$33,K$3,Maa!$I$3:$I$33)</f>
        <v>0</v>
      </c>
      <c r="L6" s="132">
        <f>SUMIF(Maa!$H$3:$H$33,L$3,Maa!$I$3:$I$33)</f>
        <v>0</v>
      </c>
      <c r="M6" s="132">
        <f>SUMIF(Maa!$H$3:$H$33,M$3,Maa!$I$3:$I$33)</f>
        <v>0</v>
      </c>
      <c r="N6" s="192">
        <f>SUMIF(Maa!$H$3:$H$33,N$3,Maa!$J$3:$J$33)</f>
        <v>0</v>
      </c>
      <c r="O6" s="132">
        <f>SUMIF(Maa!$H$3:$H$33,O$3,Maa!$I$3:$I$33)</f>
        <v>0</v>
      </c>
      <c r="P6" s="132">
        <f>SUMIF(Maa!$H$3:$H$33,P$3,Maa!$I$3:$I$33)</f>
        <v>0</v>
      </c>
      <c r="Q6" s="132">
        <f>SUMIF(Maa!$H$3:$H$33,Q$3,Maa!$I$3:$I$33)</f>
        <v>0</v>
      </c>
      <c r="R6" s="132">
        <f>SUMIF(Maa!$H$3:$H$33,R$3,Maa!$I$3:$I$33)</f>
        <v>0</v>
      </c>
      <c r="S6" s="132">
        <f>SUMIF(Maa!$H$3:$H$33,S$3,Maa!$I$3:$I$33)</f>
        <v>0</v>
      </c>
      <c r="T6" s="132">
        <f>SUMIF(Maa!$H$3:$H$33,T$3,Maa!$I$3:$I$33)</f>
        <v>0</v>
      </c>
      <c r="U6" s="132">
        <f>SUMIF(Maa!$H$3:$H$33,U$3,Maa!$I$3:$I$33)</f>
        <v>0</v>
      </c>
      <c r="V6" s="132">
        <f>SUMIF(Maa!$H$3:$H$33,V$3,Maa!$I$3:$I$33)</f>
        <v>0</v>
      </c>
      <c r="W6" s="132">
        <f>SUMIF(Maa!$H$3:$H$33,W$3,Maa!$I$3:$I$33)</f>
        <v>0</v>
      </c>
      <c r="X6" s="132">
        <f>SUMIF(Maa!$H$3:$H$33,X$3,Maa!$I$3:$I$33)</f>
        <v>0</v>
      </c>
      <c r="Y6" s="192">
        <f>SUMIF(Maa!$H$3:$H$33,Y$3,Maa!$J$3:$J$33)</f>
        <v>0</v>
      </c>
      <c r="Z6" s="132">
        <f>SUMIF(Maa!$H$3:$H$33,Z$3,Maa!$I$3:$I$33)</f>
        <v>0</v>
      </c>
      <c r="AA6" s="133">
        <f>SUMIF(Maa!$H$3:$H$33,AA$3,Maa!$I$3:$I$33)</f>
        <v>0</v>
      </c>
    </row>
    <row r="7" spans="1:27" x14ac:dyDescent="0.25">
      <c r="A7" s="116" t="s">
        <v>39</v>
      </c>
      <c r="B7" s="50">
        <f>Apr!O$34</f>
        <v>0</v>
      </c>
      <c r="C7" s="107">
        <f>Apr!P$34</f>
        <v>0</v>
      </c>
      <c r="D7" s="111">
        <f>Apr!Q34</f>
        <v>0</v>
      </c>
      <c r="E7" s="47">
        <f t="shared" si="0"/>
        <v>0</v>
      </c>
      <c r="F7" s="103">
        <f>Apr!R34</f>
        <v>0</v>
      </c>
      <c r="G7" s="103">
        <f>Apr!X34</f>
        <v>0</v>
      </c>
      <c r="H7" s="103">
        <f>Apr!Y34</f>
        <v>0</v>
      </c>
      <c r="I7" s="120" t="s">
        <v>39</v>
      </c>
      <c r="J7" s="196">
        <f>SUMIF(Apr!$H$3:$H$32,J$3,Apr!$J$3:$J$32)</f>
        <v>0</v>
      </c>
      <c r="K7" s="132">
        <f>SUMIF(Apr!$H$3:$H$32,K$3,Apr!$I$3:$I$32)</f>
        <v>0</v>
      </c>
      <c r="L7" s="132">
        <f>SUMIF(Apr!$H$3:$H$32,L$3,Apr!$I$3:$I$32)</f>
        <v>0</v>
      </c>
      <c r="M7" s="132">
        <f>SUMIF(Apr!$H$3:$H$32,M$3,Apr!$I$3:$I$32)</f>
        <v>0</v>
      </c>
      <c r="N7" s="192">
        <f>SUMIF(Apr!$H$3:$H$32,N$3,Apr!$J$3:$J$32)</f>
        <v>0</v>
      </c>
      <c r="O7" s="132">
        <f>SUMIF(Apr!$H$3:$H$32,O$3,Apr!$I$3:$I$32)</f>
        <v>0</v>
      </c>
      <c r="P7" s="132">
        <f>SUMIF(Apr!$H$3:$H$32,P$3,Apr!$I$3:$I$32)</f>
        <v>0</v>
      </c>
      <c r="Q7" s="132">
        <f>SUMIF(Apr!$H$3:$H$32,Q$3,Apr!$I$3:$I$32)</f>
        <v>0</v>
      </c>
      <c r="R7" s="132">
        <f>SUMIF(Apr!$H$3:$H$32,R$3,Apr!$I$3:$I$32)</f>
        <v>0</v>
      </c>
      <c r="S7" s="132">
        <f>SUMIF(Apr!$H$3:$H$32,S$3,Apr!$I$3:$I$32)</f>
        <v>0</v>
      </c>
      <c r="T7" s="132">
        <f>SUMIF(Apr!$H$3:$H$32,T$3,Apr!$I$3:$I$32)</f>
        <v>0</v>
      </c>
      <c r="U7" s="132">
        <f>SUMIF(Apr!$H$3:$H$32,U$3,Apr!$I$3:$I$32)</f>
        <v>0</v>
      </c>
      <c r="V7" s="132">
        <f>SUMIF(Apr!$H$3:$H$32,V$3,Apr!$I$3:$I$32)</f>
        <v>0</v>
      </c>
      <c r="W7" s="132">
        <f>SUMIF(Apr!$H$3:$H$32,W$3,Apr!$I$3:$I$32)</f>
        <v>0</v>
      </c>
      <c r="X7" s="132">
        <f>SUMIF(Apr!$H$3:$H$32,X$3,Apr!$I$3:$I$32)</f>
        <v>0</v>
      </c>
      <c r="Y7" s="192">
        <f>SUMIF(Apr!$H$3:$H$32,Y$3,Apr!$J$3:$J$32)</f>
        <v>0</v>
      </c>
      <c r="Z7" s="132">
        <f>SUMIF(Apr!$H$3:$H$32,Z$3,Apr!$I$3:$I$32)</f>
        <v>0</v>
      </c>
      <c r="AA7" s="133">
        <f>SUMIF(Apr!$H$3:$H$32,AA$3,Apr!$I$3:$I$32)</f>
        <v>0</v>
      </c>
    </row>
    <row r="8" spans="1:27" x14ac:dyDescent="0.25">
      <c r="A8" s="116" t="s">
        <v>40</v>
      </c>
      <c r="B8" s="50">
        <f>Mei!O$35</f>
        <v>0</v>
      </c>
      <c r="C8" s="107">
        <f>Mei!P$35</f>
        <v>0</v>
      </c>
      <c r="D8" s="111">
        <f>Mei!Q35</f>
        <v>0</v>
      </c>
      <c r="E8" s="47">
        <f t="shared" si="0"/>
        <v>0</v>
      </c>
      <c r="F8" s="103">
        <f>Mei!R35</f>
        <v>0</v>
      </c>
      <c r="G8" s="103">
        <f>Mei!X35</f>
        <v>0</v>
      </c>
      <c r="H8" s="103">
        <f>Mei!Y35</f>
        <v>0</v>
      </c>
      <c r="I8" s="120" t="s">
        <v>40</v>
      </c>
      <c r="J8" s="196">
        <f>SUMIF(Mei!$H$3:$H$33,J$3,Mei!$J$3:$J$33)</f>
        <v>0</v>
      </c>
      <c r="K8" s="132">
        <f>SUMIF(Mei!$H$3:$H$33,K$3,Mei!$I$3:$I$33)</f>
        <v>0</v>
      </c>
      <c r="L8" s="132">
        <f>SUMIF(Mei!$H$3:$H$33,L$3,Mei!$I$3:$I$33)</f>
        <v>0</v>
      </c>
      <c r="M8" s="132">
        <f>SUMIF(Mei!$H$3:$H$33,M$3,Mei!$I$3:$I$33)</f>
        <v>0</v>
      </c>
      <c r="N8" s="192">
        <f>SUMIF(Mei!$H$3:$H$33,N$3,Mei!$J$3:$J$33)</f>
        <v>0</v>
      </c>
      <c r="O8" s="132">
        <f>SUMIF(Mei!$H$3:$H$33,O$3,Mei!$I$3:$I$33)</f>
        <v>0</v>
      </c>
      <c r="P8" s="132">
        <f>SUMIF(Mei!$H$3:$H$33,P$3,Mei!$I$3:$I$33)</f>
        <v>0</v>
      </c>
      <c r="Q8" s="132">
        <f>SUMIF(Mei!$H$3:$H$33,Q$3,Mei!$I$3:$I$33)</f>
        <v>0</v>
      </c>
      <c r="R8" s="132">
        <f>SUMIF(Mei!$H$3:$H$33,R$3,Mei!$I$3:$I$33)</f>
        <v>0</v>
      </c>
      <c r="S8" s="132">
        <f>SUMIF(Mei!$H$3:$H$33,S$3,Mei!$I$3:$I$33)</f>
        <v>0</v>
      </c>
      <c r="T8" s="132">
        <f>SUMIF(Mei!$H$3:$H$33,T$3,Mei!$I$3:$I$33)</f>
        <v>0</v>
      </c>
      <c r="U8" s="132">
        <f>SUMIF(Mei!$H$3:$H$33,U$3,Mei!$I$3:$I$33)</f>
        <v>0</v>
      </c>
      <c r="V8" s="132">
        <f>SUMIF(Mei!$H$3:$H$33,V$3,Mei!$I$3:$I$33)</f>
        <v>0</v>
      </c>
      <c r="W8" s="132">
        <f>SUMIF(Mei!$H$3:$H$33,W$3,Mei!$I$3:$I$33)</f>
        <v>0</v>
      </c>
      <c r="X8" s="132">
        <f>SUMIF(Mei!$H$3:$H$33,X$3,Mei!$I$3:$I$33)</f>
        <v>0</v>
      </c>
      <c r="Y8" s="192">
        <f>SUMIF(Mei!$H$3:$H$33,Y$3,Mei!$J$3:$J$33)</f>
        <v>0</v>
      </c>
      <c r="Z8" s="132">
        <f>SUMIF(Mei!$H$3:$H$33,Z$3,Mei!$I$3:$I$33)</f>
        <v>0</v>
      </c>
      <c r="AA8" s="133">
        <f>SUMIF(Mei!$H$3:$H$33,AA$3,Mei!$I$3:$I$33)</f>
        <v>0</v>
      </c>
    </row>
    <row r="9" spans="1:27" x14ac:dyDescent="0.25">
      <c r="A9" s="116" t="s">
        <v>41</v>
      </c>
      <c r="B9" s="50">
        <f>Jun!O$34</f>
        <v>0</v>
      </c>
      <c r="C9" s="107">
        <f>Jun!P$34</f>
        <v>0</v>
      </c>
      <c r="D9" s="111">
        <f>Jun!Q34</f>
        <v>0</v>
      </c>
      <c r="E9" s="47">
        <f t="shared" si="0"/>
        <v>0</v>
      </c>
      <c r="F9" s="103">
        <f>Jun!R34</f>
        <v>0</v>
      </c>
      <c r="G9" s="103">
        <f>Jun!X34</f>
        <v>0</v>
      </c>
      <c r="H9" s="103">
        <f>Jun!Y34</f>
        <v>0</v>
      </c>
      <c r="I9" s="120" t="s">
        <v>41</v>
      </c>
      <c r="J9" s="196">
        <f>SUMIF(Jun!$H$3:$H$32,J$3,Jun!$J$3:$J$32)</f>
        <v>0</v>
      </c>
      <c r="K9" s="132">
        <f>SUMIF(Jun!$H$3:$H$32,K$3,Jun!$I$3:$I$32)</f>
        <v>0</v>
      </c>
      <c r="L9" s="132">
        <f>SUMIF(Jun!$H$3:$H$32,L$3,Jun!$I$3:$I$32)</f>
        <v>0</v>
      </c>
      <c r="M9" s="132">
        <f>SUMIF(Jun!$H$3:$H$32,M$3,Jun!$I$3:$I$32)</f>
        <v>0</v>
      </c>
      <c r="N9" s="192">
        <f>SUMIF(Jun!$H$3:$H$32,N$3,Jun!$J$3:$J$32)</f>
        <v>0</v>
      </c>
      <c r="O9" s="132">
        <f>SUMIF(Jun!$H$3:$H$32,O$3,Jun!$I$3:$I$32)</f>
        <v>0</v>
      </c>
      <c r="P9" s="132">
        <f>SUMIF(Jun!$H$3:$H$32,P$3,Jun!$I$3:$I$32)</f>
        <v>0</v>
      </c>
      <c r="Q9" s="132">
        <f>SUMIF(Jun!$H$3:$H$32,Q$3,Jun!$I$3:$I$32)</f>
        <v>0</v>
      </c>
      <c r="R9" s="132">
        <f>SUMIF(Jun!$H$3:$H$32,R$3,Jun!$I$3:$I$32)</f>
        <v>0</v>
      </c>
      <c r="S9" s="132">
        <f>SUMIF(Jun!$H$3:$H$32,S$3,Jun!$I$3:$I$32)</f>
        <v>0</v>
      </c>
      <c r="T9" s="132">
        <f>SUMIF(Jun!$H$3:$H$32,T$3,Jun!$I$3:$I$32)</f>
        <v>0</v>
      </c>
      <c r="U9" s="132">
        <f>SUMIF(Jun!$H$3:$H$32,U$3,Jun!$I$3:$I$32)</f>
        <v>0</v>
      </c>
      <c r="V9" s="132">
        <f>SUMIF(Jun!$H$3:$H$32,V$3,Jun!$I$3:$I$32)</f>
        <v>0</v>
      </c>
      <c r="W9" s="132">
        <f>SUMIF(Jun!$H$3:$H$32,W$3,Jun!$I$3:$I$32)</f>
        <v>0</v>
      </c>
      <c r="X9" s="132">
        <f>SUMIF(Jun!$H$3:$H$32,X$3,Jun!$I$3:$I$32)</f>
        <v>0</v>
      </c>
      <c r="Y9" s="192">
        <f>SUMIF(Jun!$H$3:$H$32,Y$3,Jun!$J$3:$J$32)</f>
        <v>0</v>
      </c>
      <c r="Z9" s="132">
        <f>SUMIF(Jun!$H$3:$H$32,Z$3,Jun!$I$3:$I$32)</f>
        <v>0</v>
      </c>
      <c r="AA9" s="133">
        <f>SUMIF(Jun!$H$3:$H$32,AA$3,Jun!$I$3:$I$32)</f>
        <v>0</v>
      </c>
    </row>
    <row r="10" spans="1:27" x14ac:dyDescent="0.25">
      <c r="A10" s="116" t="s">
        <v>42</v>
      </c>
      <c r="B10" s="50">
        <f>Jul!O$35</f>
        <v>0</v>
      </c>
      <c r="C10" s="107">
        <f>Jul!$P$35</f>
        <v>0</v>
      </c>
      <c r="D10" s="111">
        <f>Jul!Q35</f>
        <v>0</v>
      </c>
      <c r="E10" s="47">
        <f t="shared" si="0"/>
        <v>0</v>
      </c>
      <c r="F10" s="103">
        <f>Jul!R35</f>
        <v>0</v>
      </c>
      <c r="G10" s="103">
        <f>Jul!X35</f>
        <v>0</v>
      </c>
      <c r="H10" s="103">
        <f>Jul!Y35</f>
        <v>0</v>
      </c>
      <c r="I10" s="120" t="s">
        <v>42</v>
      </c>
      <c r="J10" s="196">
        <f>SUMIF(Jul!$H$3:$H$33,J$3,Jul!$J$3:$J$33)</f>
        <v>0</v>
      </c>
      <c r="K10" s="132">
        <f>SUMIF(Jul!$H$3:$H$33,K$3,Jul!$I$3:$I$33)</f>
        <v>0</v>
      </c>
      <c r="L10" s="132">
        <f>SUMIF(Jul!$H$3:$H$33,L$3,Jul!$I$3:$I$33)</f>
        <v>0</v>
      </c>
      <c r="M10" s="132">
        <f>SUMIF(Jul!$H$3:$H$33,M$3,Jul!$I$3:$I$33)</f>
        <v>0</v>
      </c>
      <c r="N10" s="192">
        <f>SUMIF(Jul!$H$3:$H$33,N$3,Jul!$J$3:$J$33)</f>
        <v>0</v>
      </c>
      <c r="O10" s="132">
        <f>SUMIF(Jul!$H$3:$H$33,O$3,Jul!$I$3:$I$33)</f>
        <v>0</v>
      </c>
      <c r="P10" s="132">
        <f>SUMIF(Jul!$H$3:$H$33,P$3,Jul!$I$3:$I$33)</f>
        <v>0</v>
      </c>
      <c r="Q10" s="132">
        <f>SUMIF(Jul!$H$3:$H$33,Q$3,Jul!$I$3:$I$33)</f>
        <v>0</v>
      </c>
      <c r="R10" s="132">
        <f>SUMIF(Jul!$H$3:$H$33,R$3,Jul!$I$3:$I$33)</f>
        <v>0</v>
      </c>
      <c r="S10" s="132">
        <f>SUMIF(Jul!$H$3:$H$33,S$3,Jul!$I$3:$I$33)</f>
        <v>0</v>
      </c>
      <c r="T10" s="132">
        <f>SUMIF(Jul!$H$3:$H$33,T$3,Jul!$I$3:$I$33)</f>
        <v>0</v>
      </c>
      <c r="U10" s="132">
        <f>SUMIF(Jul!$H$3:$H$33,U$3,Jul!$I$3:$I$33)</f>
        <v>0</v>
      </c>
      <c r="V10" s="132">
        <f>SUMIF(Jul!$H$3:$H$33,V$3,Jul!$I$3:$I$33)</f>
        <v>0</v>
      </c>
      <c r="W10" s="132">
        <f>SUMIF(Jul!$H$3:$H$33,W$3,Jul!$I$3:$I$33)</f>
        <v>0</v>
      </c>
      <c r="X10" s="132">
        <f>SUMIF(Jul!$H$3:$H$33,X$3,Jul!$I$3:$I$33)</f>
        <v>0</v>
      </c>
      <c r="Y10" s="192">
        <f>SUMIF(Jul!$H$3:$H$33,Y$3,Jul!$J$3:$J$33)</f>
        <v>0</v>
      </c>
      <c r="Z10" s="132">
        <f>SUMIF(Jul!$H$3:$H$33,Z$3,Jul!$I$3:$I$33)</f>
        <v>0</v>
      </c>
      <c r="AA10" s="133">
        <f>SUMIF(Jul!$H$3:$H$33,AA$3,Jul!$I$3:$I$33)</f>
        <v>0</v>
      </c>
    </row>
    <row r="11" spans="1:27" x14ac:dyDescent="0.25">
      <c r="A11" s="116" t="s">
        <v>43</v>
      </c>
      <c r="B11" s="50">
        <f>Aug!O$35</f>
        <v>0</v>
      </c>
      <c r="C11" s="107">
        <f>Aug!P$35</f>
        <v>0</v>
      </c>
      <c r="D11" s="111">
        <f>Aug!Q35</f>
        <v>0</v>
      </c>
      <c r="E11" s="47">
        <f t="shared" si="0"/>
        <v>0</v>
      </c>
      <c r="F11" s="103">
        <f>Aug!R35</f>
        <v>0</v>
      </c>
      <c r="G11" s="103">
        <f>Aug!X35</f>
        <v>0</v>
      </c>
      <c r="H11" s="103">
        <f>Aug!Y35</f>
        <v>0</v>
      </c>
      <c r="I11" s="120" t="s">
        <v>43</v>
      </c>
      <c r="J11" s="196">
        <f>SUMIF(Aug!$H$3:$H$33,J$3,Aug!$J$3:$J$33)</f>
        <v>0</v>
      </c>
      <c r="K11" s="132">
        <f>SUMIF(Aug!$H$3:$H$33,K$3,Aug!$I$3:$I$33)</f>
        <v>0</v>
      </c>
      <c r="L11" s="132">
        <f>SUMIF(Aug!$H$3:$H$33,L$3,Aug!$I$3:$I$33)</f>
        <v>0</v>
      </c>
      <c r="M11" s="132">
        <f>SUMIF(Aug!$H$3:$H$33,M$3,Aug!$I$3:$I$33)</f>
        <v>0</v>
      </c>
      <c r="N11" s="192">
        <f>SUMIF(Aug!$H$3:$H$33,N$3,Aug!$J$3:$J$33)</f>
        <v>0</v>
      </c>
      <c r="O11" s="132">
        <f>SUMIF(Aug!$H$3:$H$33,O$3,Aug!$I$3:$I$33)</f>
        <v>0</v>
      </c>
      <c r="P11" s="132">
        <f>SUMIF(Aug!$H$3:$H$33,P$3,Aug!$I$3:$I$33)</f>
        <v>0</v>
      </c>
      <c r="Q11" s="132">
        <f>SUMIF(Aug!$H$3:$H$33,Q$3,Aug!$I$3:$I$33)</f>
        <v>0</v>
      </c>
      <c r="R11" s="132">
        <f>SUMIF(Aug!$H$3:$H$33,R$3,Aug!$I$3:$I$33)</f>
        <v>0</v>
      </c>
      <c r="S11" s="132">
        <f>SUMIF(Aug!$H$3:$H$33,S$3,Aug!$I$3:$I$33)</f>
        <v>0</v>
      </c>
      <c r="T11" s="132">
        <f>SUMIF(Aug!$H$3:$H$33,T$3,Aug!$I$3:$I$33)</f>
        <v>0</v>
      </c>
      <c r="U11" s="132">
        <f>SUMIF(Aug!$H$3:$H$33,U$3,Aug!$I$3:$I$33)</f>
        <v>0</v>
      </c>
      <c r="V11" s="132">
        <f>SUMIF(Aug!$H$3:$H$33,V$3,Aug!$I$3:$I$33)</f>
        <v>0</v>
      </c>
      <c r="W11" s="132">
        <f>SUMIF(Aug!$H$3:$H$33,W$3,Aug!$I$3:$I$33)</f>
        <v>0</v>
      </c>
      <c r="X11" s="132">
        <f>SUMIF(Aug!$H$3:$H$33,X$3,Aug!$I$3:$I$33)</f>
        <v>0</v>
      </c>
      <c r="Y11" s="192">
        <f>SUMIF(Aug!$H$3:$H$33,Y$3,Aug!$J$3:$J$33)</f>
        <v>0</v>
      </c>
      <c r="Z11" s="132">
        <f>SUMIF(Aug!$H$3:$H$33,Z$3,Aug!$I$3:$I$33)</f>
        <v>0</v>
      </c>
      <c r="AA11" s="133">
        <f>SUMIF(Aug!$H$3:$H$33,AA$3,Aug!$I$3:$I$33)</f>
        <v>0</v>
      </c>
    </row>
    <row r="12" spans="1:27" x14ac:dyDescent="0.25">
      <c r="A12" s="116" t="s">
        <v>44</v>
      </c>
      <c r="B12" s="50">
        <f>Sep!O$34</f>
        <v>0</v>
      </c>
      <c r="C12" s="107">
        <f>Sep!P$34</f>
        <v>0</v>
      </c>
      <c r="D12" s="111">
        <f>Sep!Q34</f>
        <v>0</v>
      </c>
      <c r="E12" s="47">
        <f t="shared" si="0"/>
        <v>0</v>
      </c>
      <c r="F12" s="103">
        <f>Sep!R34</f>
        <v>0</v>
      </c>
      <c r="G12" s="103">
        <f>Sep!X34</f>
        <v>0</v>
      </c>
      <c r="H12" s="103">
        <f>Sep!Y34</f>
        <v>0</v>
      </c>
      <c r="I12" s="120" t="s">
        <v>44</v>
      </c>
      <c r="J12" s="196">
        <f>SUMIF(Sep!$H$3:$H$32,J$3,Sep!$J$3:$J$32)</f>
        <v>0</v>
      </c>
      <c r="K12" s="132">
        <f>SUMIF(Sep!$H$3:$H$32,K$3,Sep!$I$3:$I$32)</f>
        <v>0</v>
      </c>
      <c r="L12" s="132">
        <f>SUMIF(Sep!$H$3:$H$32,L$3,Sep!$I$3:$I$32)</f>
        <v>0</v>
      </c>
      <c r="M12" s="132">
        <f>SUMIF(Sep!$H$3:$H$32,M$3,Sep!$I$3:$I$32)</f>
        <v>0</v>
      </c>
      <c r="N12" s="192">
        <f>SUMIF(Sep!$H$3:$H$32,N$3,Sep!$J$3:$J$32)</f>
        <v>0</v>
      </c>
      <c r="O12" s="132">
        <f>SUMIF(Sep!$H$3:$H$32,O$3,Sep!$I$3:$I$32)</f>
        <v>0</v>
      </c>
      <c r="P12" s="132">
        <f>SUMIF(Sep!$H$3:$H$32,P$3,Sep!$I$3:$I$32)</f>
        <v>0</v>
      </c>
      <c r="Q12" s="132">
        <f>SUMIF(Sep!$H$3:$H$32,Q$3,Sep!$I$3:$I$32)</f>
        <v>0</v>
      </c>
      <c r="R12" s="132">
        <f>SUMIF(Sep!$H$3:$H$32,R$3,Sep!$I$3:$I$32)</f>
        <v>0</v>
      </c>
      <c r="S12" s="132">
        <f>SUMIF(Sep!$H$3:$H$32,S$3,Sep!$I$3:$I$32)</f>
        <v>0</v>
      </c>
      <c r="T12" s="132">
        <f>SUMIF(Sep!$H$3:$H$32,T$3,Sep!$I$3:$I$32)</f>
        <v>0</v>
      </c>
      <c r="U12" s="132">
        <f>SUMIF(Sep!$H$3:$H$32,U$3,Sep!$I$3:$I$32)</f>
        <v>0</v>
      </c>
      <c r="V12" s="132">
        <f>SUMIF(Sep!$H$3:$H$32,V$3,Sep!$I$3:$I$32)</f>
        <v>0</v>
      </c>
      <c r="W12" s="132">
        <f>SUMIF(Sep!$H$3:$H$32,W$3,Sep!$I$3:$I$32)</f>
        <v>0</v>
      </c>
      <c r="X12" s="132">
        <f>SUMIF(Sep!$H$3:$H$32,X$3,Sep!$I$3:$I$32)</f>
        <v>0</v>
      </c>
      <c r="Y12" s="192">
        <f>SUMIF(Sep!$H$3:$H$32,Y$3,Sep!$J$3:$J$32)</f>
        <v>0</v>
      </c>
      <c r="Z12" s="132">
        <f>SUMIF(Sep!$H$3:$H$32,Z$3,Sep!$I$3:$I$32)</f>
        <v>0</v>
      </c>
      <c r="AA12" s="133">
        <f>SUMIF(Sep!$H$3:$H$32,AA$3,Sep!$I$3:$I$32)</f>
        <v>0</v>
      </c>
    </row>
    <row r="13" spans="1:27" x14ac:dyDescent="0.25">
      <c r="A13" s="116" t="s">
        <v>45</v>
      </c>
      <c r="B13" s="50">
        <f>Okt!O$35</f>
        <v>0</v>
      </c>
      <c r="C13" s="107">
        <f>Okt!P$35</f>
        <v>0</v>
      </c>
      <c r="D13" s="111">
        <f>Okt!Q35</f>
        <v>0</v>
      </c>
      <c r="E13" s="47">
        <f t="shared" si="0"/>
        <v>0</v>
      </c>
      <c r="F13" s="103">
        <f>Okt!R35</f>
        <v>0</v>
      </c>
      <c r="G13" s="103">
        <f>Okt!X35</f>
        <v>0</v>
      </c>
      <c r="H13" s="103">
        <f>Okt!Y35</f>
        <v>0</v>
      </c>
      <c r="I13" s="120" t="s">
        <v>45</v>
      </c>
      <c r="J13" s="196">
        <f>SUMIF(Okt!$H$3:$H$33,J$3,Okt!$J$3:$J$33)</f>
        <v>0</v>
      </c>
      <c r="K13" s="132">
        <f>SUMIF(Okt!$H$3:$H$33,K$3,Okt!$I$3:$I$33)</f>
        <v>0</v>
      </c>
      <c r="L13" s="132">
        <f>SUMIF(Okt!$H$3:$H$33,L$3,Okt!$I$3:$I$33)</f>
        <v>0</v>
      </c>
      <c r="M13" s="132">
        <f>SUMIF(Okt!$H$3:$H$33,M$3,Okt!$I$3:$I$33)</f>
        <v>0</v>
      </c>
      <c r="N13" s="192">
        <f>SUMIF(Okt!$H$3:$H$33,N$3,Okt!$J$3:$J$33)</f>
        <v>0</v>
      </c>
      <c r="O13" s="132">
        <f>SUMIF(Okt!$H$3:$H$33,O$3,Okt!$I$3:$I$33)</f>
        <v>0</v>
      </c>
      <c r="P13" s="132">
        <f>SUMIF(Okt!$H$3:$H$33,P$3,Okt!$I$3:$I$33)</f>
        <v>0</v>
      </c>
      <c r="Q13" s="132">
        <f>SUMIF(Okt!$H$3:$H$33,Q$3,Okt!$I$3:$I$33)</f>
        <v>0</v>
      </c>
      <c r="R13" s="132">
        <f>SUMIF(Okt!$H$3:$H$33,R$3,Okt!$I$3:$I$33)</f>
        <v>0</v>
      </c>
      <c r="S13" s="132">
        <f>SUMIF(Okt!$H$3:$H$33,S$3,Okt!$I$3:$I$33)</f>
        <v>0</v>
      </c>
      <c r="T13" s="132">
        <f>SUMIF(Okt!$H$3:$H$33,T$3,Okt!$I$3:$I$33)</f>
        <v>0</v>
      </c>
      <c r="U13" s="132">
        <f>SUMIF(Okt!$H$3:$H$33,U$3,Okt!$I$3:$I$33)</f>
        <v>0</v>
      </c>
      <c r="V13" s="132">
        <f>SUMIF(Okt!$H$3:$H$33,V$3,Okt!$I$3:$I$33)</f>
        <v>0</v>
      </c>
      <c r="W13" s="132">
        <f>SUMIF(Okt!$H$3:$H$33,W$3,Okt!$I$3:$I$33)</f>
        <v>0</v>
      </c>
      <c r="X13" s="132">
        <f>SUMIF(Okt!$H$3:$H$33,X$3,Okt!$I$3:$I$33)</f>
        <v>0</v>
      </c>
      <c r="Y13" s="192">
        <f>SUMIF(Okt!$H$3:$H$33,Y$3,Okt!$J$3:$J$33)</f>
        <v>0</v>
      </c>
      <c r="Z13" s="132">
        <f>SUMIF(Okt!$H$3:$H$33,Z$3,Okt!$I$3:$I$33)</f>
        <v>0</v>
      </c>
      <c r="AA13" s="133">
        <f>SUMIF(Okt!$H$3:$H$33,AA$3,Okt!$I$3:$I$33)</f>
        <v>0</v>
      </c>
    </row>
    <row r="14" spans="1:27" x14ac:dyDescent="0.25">
      <c r="A14" s="116" t="s">
        <v>46</v>
      </c>
      <c r="B14" s="50">
        <f>Nov!O$34</f>
        <v>0</v>
      </c>
      <c r="C14" s="107">
        <f>Nov!P$34</f>
        <v>0</v>
      </c>
      <c r="D14" s="111">
        <f>Nov!Q34</f>
        <v>0</v>
      </c>
      <c r="E14" s="47">
        <f t="shared" si="0"/>
        <v>0</v>
      </c>
      <c r="F14" s="103">
        <f>Nov!R34</f>
        <v>0</v>
      </c>
      <c r="G14" s="103">
        <f>Nov!X34</f>
        <v>0</v>
      </c>
      <c r="H14" s="103">
        <f>Nov!Y34</f>
        <v>0</v>
      </c>
      <c r="I14" s="120" t="s">
        <v>46</v>
      </c>
      <c r="J14" s="196">
        <f>SUMIF(Nov!$H$3:$H$32,J$3,Nov!$J$3:$J$32)</f>
        <v>0</v>
      </c>
      <c r="K14" s="132">
        <f>SUMIF(Nov!$H$3:$H$32,K$3,Nov!$I$3:$I$32)</f>
        <v>0</v>
      </c>
      <c r="L14" s="132">
        <f>SUMIF(Nov!$H$3:$H$32,L$3,Nov!$I$3:$I$32)</f>
        <v>0</v>
      </c>
      <c r="M14" s="132">
        <f>SUMIF(Nov!$H$3:$H$32,M$3,Nov!$I$3:$I$32)</f>
        <v>0</v>
      </c>
      <c r="N14" s="192">
        <f>SUMIF(Nov!$H$3:$H$32,N$3,Nov!$J$3:$J$32)</f>
        <v>0</v>
      </c>
      <c r="O14" s="132">
        <f>SUMIF(Nov!$H$3:$H$32,O$3,Nov!$I$3:$I$32)</f>
        <v>0</v>
      </c>
      <c r="P14" s="132">
        <f>SUMIF(Nov!$H$3:$H$32,P$3,Nov!$I$3:$I$32)</f>
        <v>0</v>
      </c>
      <c r="Q14" s="132">
        <f>SUMIF(Nov!$H$3:$H$32,Q$3,Nov!$I$3:$I$32)</f>
        <v>0</v>
      </c>
      <c r="R14" s="132">
        <f>SUMIF(Nov!$H$3:$H$32,R$3,Nov!$I$3:$I$32)</f>
        <v>0</v>
      </c>
      <c r="S14" s="132">
        <f>SUMIF(Nov!$H$3:$H$32,S$3,Nov!$I$3:$I$32)</f>
        <v>0</v>
      </c>
      <c r="T14" s="132">
        <f>SUMIF(Nov!$H$3:$H$32,T$3,Nov!$I$3:$I$32)</f>
        <v>0</v>
      </c>
      <c r="U14" s="132">
        <f>SUMIF(Nov!$H$3:$H$32,U$3,Nov!$I$3:$I$32)</f>
        <v>0</v>
      </c>
      <c r="V14" s="132">
        <f>SUMIF(Nov!$H$3:$H$32,V$3,Nov!$I$3:$I$32)</f>
        <v>0</v>
      </c>
      <c r="W14" s="132">
        <f>SUMIF(Nov!$H$3:$H$32,W$3,Nov!$I$3:$I$32)</f>
        <v>0</v>
      </c>
      <c r="X14" s="132">
        <f>SUMIF(Nov!$H$3:$H$32,X$3,Nov!$I$3:$I$32)</f>
        <v>0</v>
      </c>
      <c r="Y14" s="192">
        <f>SUMIF(Nov!$H$3:$H$32,Y$3,Nov!$J$3:$J$32)</f>
        <v>0</v>
      </c>
      <c r="Z14" s="132">
        <f>SUMIF(Nov!$H$3:$H$32,Z$3,Nov!$I$3:$I$32)</f>
        <v>0</v>
      </c>
      <c r="AA14" s="133">
        <f>SUMIF(Nov!$H$3:$H$32,AA$3,Nov!$I$3:$I$32)</f>
        <v>0</v>
      </c>
    </row>
    <row r="15" spans="1:27" ht="16.5" thickBot="1" x14ac:dyDescent="0.3">
      <c r="A15" s="116" t="s">
        <v>47</v>
      </c>
      <c r="B15" s="50">
        <f>Dec!O$35</f>
        <v>0</v>
      </c>
      <c r="C15" s="107">
        <f>Dec!$P$35</f>
        <v>0</v>
      </c>
      <c r="D15" s="111">
        <f>Dec!Q35</f>
        <v>0</v>
      </c>
      <c r="E15" s="47">
        <f t="shared" si="0"/>
        <v>0</v>
      </c>
      <c r="F15" s="103">
        <f>Dec!R35</f>
        <v>0</v>
      </c>
      <c r="G15" s="103">
        <f>Dec!X35</f>
        <v>0</v>
      </c>
      <c r="H15" s="103">
        <f>Dec!Y35</f>
        <v>0</v>
      </c>
      <c r="I15" s="120" t="s">
        <v>47</v>
      </c>
      <c r="J15" s="197">
        <f>SUMIF(Dec!$H$3:$H$33,J$3,Dec!$J$3:$J$33)</f>
        <v>0</v>
      </c>
      <c r="K15" s="134">
        <f>SUMIF(Dec!$H$3:$H$33,K$3,Dec!$I$3:$I$33)</f>
        <v>0</v>
      </c>
      <c r="L15" s="134">
        <f>SUMIF(Dec!$H$3:$H$33,L$3,Dec!$I$3:$I$33)</f>
        <v>0</v>
      </c>
      <c r="M15" s="134">
        <f>SUMIF(Dec!$H$3:$H$33,M$3,Dec!$I$3:$I$33)</f>
        <v>0</v>
      </c>
      <c r="N15" s="193">
        <f>SUMIF(Dec!$H$3:$H$33,N$3,Dec!$J$3:$J$33)</f>
        <v>0</v>
      </c>
      <c r="O15" s="134">
        <f>SUMIF(Dec!$H$3:$H$33,O$3,Dec!$I$3:$I$33)</f>
        <v>0</v>
      </c>
      <c r="P15" s="134">
        <f>SUMIF(Dec!$H$3:$H$33,P$3,Dec!$I$3:$I$33)</f>
        <v>0</v>
      </c>
      <c r="Q15" s="134">
        <f>SUMIF(Dec!$H$3:$H$33,Q$3,Dec!$I$3:$I$33)</f>
        <v>0</v>
      </c>
      <c r="R15" s="134">
        <f>SUMIF(Dec!$H$3:$H$33,R$3,Dec!$I$3:$I$33)</f>
        <v>0</v>
      </c>
      <c r="S15" s="134">
        <f>SUMIF(Dec!$H$3:$H$33,S$3,Dec!$I$3:$I$33)</f>
        <v>0</v>
      </c>
      <c r="T15" s="134">
        <f>SUMIF(Dec!$H$3:$H$33,T$3,Dec!$I$3:$I$33)</f>
        <v>0</v>
      </c>
      <c r="U15" s="134">
        <f>SUMIF(Dec!$H$3:$H$33,U$3,Dec!$I$3:$I$33)</f>
        <v>0</v>
      </c>
      <c r="V15" s="134">
        <f>SUMIF(Dec!$H$3:$H$33,V$3,Dec!$I$3:$I$33)</f>
        <v>0</v>
      </c>
      <c r="W15" s="134">
        <f>SUMIF(Dec!$H$3:$H$33,W$3,Dec!$I$3:$I$33)</f>
        <v>0</v>
      </c>
      <c r="X15" s="134">
        <f>SUMIF(Dec!$H$3:$H$33,X$3,Dec!$I$3:$I$33)</f>
        <v>0</v>
      </c>
      <c r="Y15" s="193">
        <f>SUMIF(Dec!$H$3:$H$33,Y$3,Dec!$J$3:$J$33)</f>
        <v>0</v>
      </c>
      <c r="Z15" s="134">
        <f>SUMIF(Dec!$H$3:$H$33,Z$3,Dec!$I$3:$I$33)</f>
        <v>0</v>
      </c>
      <c r="AA15" s="135">
        <f>SUMIF(Dec!$H$3:$H$33,AA$3,Dec!$I$3:$I$33)</f>
        <v>0</v>
      </c>
    </row>
    <row r="16" spans="1:27" ht="16.5" thickBot="1" x14ac:dyDescent="0.3">
      <c r="A16" s="117" t="s">
        <v>21</v>
      </c>
      <c r="B16" s="52">
        <f t="shared" ref="B16:E16" si="1">SUM(B4:B15)</f>
        <v>0</v>
      </c>
      <c r="C16" s="108">
        <f t="shared" si="1"/>
        <v>0</v>
      </c>
      <c r="D16" s="112">
        <f t="shared" si="1"/>
        <v>0</v>
      </c>
      <c r="E16" s="53">
        <f t="shared" si="1"/>
        <v>0</v>
      </c>
      <c r="F16" s="152">
        <f>SUM(F4:F15)</f>
        <v>0</v>
      </c>
      <c r="G16" s="104">
        <f>SUM(G4:G15)</f>
        <v>0</v>
      </c>
      <c r="H16" s="104">
        <f>SUM(H4:H15)</f>
        <v>0</v>
      </c>
      <c r="I16" s="121" t="s">
        <v>21</v>
      </c>
      <c r="J16" s="198">
        <f>SUM(J4:J15)</f>
        <v>0</v>
      </c>
      <c r="K16" s="126">
        <f>SUM(K4:K15)</f>
        <v>0</v>
      </c>
      <c r="L16" s="126">
        <f>SUM(L4:L15)</f>
        <v>0</v>
      </c>
      <c r="M16" s="126">
        <f>SUM(M4:M15)</f>
        <v>0</v>
      </c>
      <c r="N16" s="201">
        <f>SUM(N4:N15)</f>
        <v>0</v>
      </c>
      <c r="O16" s="124">
        <f t="shared" ref="O16:AA16" si="2">SUM(O4:O15)</f>
        <v>0</v>
      </c>
      <c r="P16" s="124">
        <f t="shared" si="2"/>
        <v>0</v>
      </c>
      <c r="Q16" s="124">
        <f t="shared" si="2"/>
        <v>0</v>
      </c>
      <c r="R16" s="124">
        <f t="shared" si="2"/>
        <v>0</v>
      </c>
      <c r="S16" s="124">
        <f t="shared" si="2"/>
        <v>0</v>
      </c>
      <c r="T16" s="124">
        <f t="shared" si="2"/>
        <v>0</v>
      </c>
      <c r="U16" s="124">
        <f t="shared" si="2"/>
        <v>0</v>
      </c>
      <c r="V16" s="124">
        <f t="shared" si="2"/>
        <v>0</v>
      </c>
      <c r="W16" s="124">
        <f t="shared" si="2"/>
        <v>0</v>
      </c>
      <c r="X16" s="124">
        <f t="shared" si="2"/>
        <v>0</v>
      </c>
      <c r="Y16" s="194">
        <f t="shared" si="2"/>
        <v>0</v>
      </c>
      <c r="Z16" s="124">
        <f t="shared" si="2"/>
        <v>0</v>
      </c>
      <c r="AA16" s="125">
        <f t="shared" si="2"/>
        <v>0</v>
      </c>
    </row>
    <row r="17" spans="1:27" ht="16.5" thickBot="1" x14ac:dyDescent="0.3">
      <c r="A17" s="157" t="s">
        <v>85</v>
      </c>
      <c r="B17" s="267">
        <f t="shared" ref="B17:E17" si="3">B16*24</f>
        <v>0</v>
      </c>
      <c r="C17" s="268">
        <f t="shared" si="3"/>
        <v>0</v>
      </c>
      <c r="D17" s="269">
        <f t="shared" si="3"/>
        <v>0</v>
      </c>
      <c r="E17" s="270">
        <f t="shared" si="3"/>
        <v>0</v>
      </c>
      <c r="I17" s="157" t="s">
        <v>85</v>
      </c>
      <c r="J17" s="198">
        <f>J16</f>
        <v>0</v>
      </c>
      <c r="K17" s="158">
        <f t="shared" ref="K17:AA17" si="4">K16*24</f>
        <v>0</v>
      </c>
      <c r="L17" s="158">
        <f t="shared" si="4"/>
        <v>0</v>
      </c>
      <c r="M17" s="158">
        <f t="shared" si="4"/>
        <v>0</v>
      </c>
      <c r="N17" s="194">
        <f>N16</f>
        <v>0</v>
      </c>
      <c r="O17" s="158">
        <f t="shared" si="4"/>
        <v>0</v>
      </c>
      <c r="P17" s="158">
        <f t="shared" si="4"/>
        <v>0</v>
      </c>
      <c r="Q17" s="158">
        <f t="shared" si="4"/>
        <v>0</v>
      </c>
      <c r="R17" s="158">
        <f t="shared" si="4"/>
        <v>0</v>
      </c>
      <c r="S17" s="158">
        <f t="shared" si="4"/>
        <v>0</v>
      </c>
      <c r="T17" s="158">
        <f t="shared" si="4"/>
        <v>0</v>
      </c>
      <c r="U17" s="158">
        <f t="shared" si="4"/>
        <v>0</v>
      </c>
      <c r="V17" s="158">
        <f t="shared" si="4"/>
        <v>0</v>
      </c>
      <c r="W17" s="158">
        <f t="shared" si="4"/>
        <v>0</v>
      </c>
      <c r="X17" s="158">
        <f t="shared" si="4"/>
        <v>0</v>
      </c>
      <c r="Y17" s="194">
        <f>Y16</f>
        <v>0</v>
      </c>
      <c r="Z17" s="158">
        <f t="shared" si="4"/>
        <v>0</v>
      </c>
      <c r="AA17" s="159">
        <f t="shared" si="4"/>
        <v>0</v>
      </c>
    </row>
    <row r="18" spans="1:27" ht="16.5" thickBot="1" x14ac:dyDescent="0.3">
      <c r="B18" s="20"/>
      <c r="C18" s="20"/>
      <c r="D18" s="20"/>
      <c r="E18" s="20"/>
      <c r="G18" s="143" t="s">
        <v>48</v>
      </c>
      <c r="H18" s="144">
        <f>H16-G16</f>
        <v>0</v>
      </c>
    </row>
    <row r="19" spans="1:27" x14ac:dyDescent="0.25">
      <c r="B19" s="20"/>
      <c r="C19" s="20"/>
      <c r="D19" s="20"/>
      <c r="E19" s="20"/>
      <c r="G19" s="176"/>
      <c r="H19" s="177"/>
    </row>
    <row r="20" spans="1:27" ht="16.5" thickBot="1" x14ac:dyDescent="0.3">
      <c r="B20" s="21"/>
      <c r="C20" s="21"/>
      <c r="D20" s="21"/>
      <c r="E20" s="245"/>
      <c r="F20" s="287"/>
      <c r="G20" s="38"/>
      <c r="H20" s="245"/>
      <c r="I20" s="274"/>
      <c r="J20" s="45"/>
      <c r="K20" s="45"/>
      <c r="L20" s="22"/>
      <c r="M20" s="22"/>
      <c r="N20" s="22"/>
      <c r="P20" s="23"/>
      <c r="Q20" s="23"/>
      <c r="R20" s="23"/>
      <c r="S20" s="23"/>
    </row>
    <row r="21" spans="1:27" ht="32.25" thickBot="1" x14ac:dyDescent="0.3">
      <c r="A21" s="171" t="s">
        <v>97</v>
      </c>
      <c r="B21" s="172" t="s">
        <v>135</v>
      </c>
      <c r="C21" s="173" t="s">
        <v>98</v>
      </c>
      <c r="D21" s="173" t="s">
        <v>99</v>
      </c>
      <c r="E21" s="174" t="s">
        <v>100</v>
      </c>
      <c r="F21" s="250" t="s">
        <v>123</v>
      </c>
      <c r="G21" s="175" t="s">
        <v>122</v>
      </c>
      <c r="H21" s="271" t="s">
        <v>117</v>
      </c>
      <c r="I21" s="276"/>
      <c r="K21" s="22"/>
      <c r="L21" s="22"/>
      <c r="M21" s="22"/>
      <c r="N21" s="22"/>
      <c r="P21" s="23"/>
      <c r="Q21" s="23"/>
      <c r="R21" s="23"/>
      <c r="S21" s="23"/>
    </row>
    <row r="22" spans="1:27" x14ac:dyDescent="0.25">
      <c r="A22" s="170">
        <v>0</v>
      </c>
      <c r="B22" s="185"/>
      <c r="C22" s="184"/>
      <c r="D22" s="182">
        <v>1</v>
      </c>
      <c r="E22" s="246">
        <f>SUMIF(Jan!$Z$4:$Z$9,A22,Jan!$AB$4:$AB$9)+SUMIF(Feb!$Z$4:$Z$9,A22,Feb!$AB$4:$AB$9)+SUMIF(Maa!$Z$4:$Z$9,A22,Maa!$AB$4:$AB$9)+SUMIF(Apr!$Z$4:$Z$9,A22,Apr!$AB$4:$AB$9)+SUMIF(Mei!$Z$4:$Z$9,A22,Mei!$AB$4:$AB$9)+SUMIF(Jun!$Z$4:$Z$9,A22,Jun!$AB$4:$AB$9)+SUMIF(Jul!$Z$4:$Z$9,A22,Jul!$AB$4:$AB$9)+SUMIF(Aug!$Z$4:$Z$9,A22,Aug!$AB$4:$AB$9)+SUMIF(Sep!$Z$4:$Z$9,A22,Sep!$AB$4:$AB$9)+SUMIF(Okt!$Z$4:$Z$9,A22,Okt!$AB$4:$AB$9)+SUMIF(Nov!$Z$4:$Z$9,A22,Nov!$AB$4:$AB$9)+SUMIF(Dec!$Z$4:$Z$9,A22,Dec!$AB$4:$AB$9)</f>
        <v>0</v>
      </c>
      <c r="F22" s="247">
        <f>IF(C22="JA",0,IF(E22-B22&lt;0,"",(E22-B22)*D22))</f>
        <v>0</v>
      </c>
      <c r="G22" s="238">
        <f>IF(C22="",0,IF(D22&lt;&gt;1,0,IF(E22-B22&lt;0,0,E22-B22)))</f>
        <v>0</v>
      </c>
      <c r="H22" s="272">
        <f>B22*24</f>
        <v>0</v>
      </c>
      <c r="I22" s="277"/>
      <c r="J22" s="45"/>
      <c r="K22" s="320" t="s">
        <v>87</v>
      </c>
      <c r="L22" s="321"/>
      <c r="M22" s="321"/>
      <c r="N22" s="321"/>
      <c r="O22" s="234">
        <f>F76*24</f>
        <v>0</v>
      </c>
      <c r="S22" s="23"/>
      <c r="T22" s="23"/>
      <c r="U22" s="23"/>
      <c r="V22" s="23"/>
    </row>
    <row r="23" spans="1:27" x14ac:dyDescent="0.25">
      <c r="A23" s="160">
        <v>1</v>
      </c>
      <c r="B23" s="186">
        <v>1.6666666666666667</v>
      </c>
      <c r="C23" s="183"/>
      <c r="D23" s="182">
        <v>1</v>
      </c>
      <c r="E23" s="248">
        <f>SUMIF(Jan!$Z$4:$Z$9,A23,Jan!$AB$4:$AB$9)+SUMIF(Feb!$Z$4:$Z$9,A23,Feb!$AB$4:$AB$9)+SUMIF(Maa!$Z$4:$Z$9,A23,Maa!$AB$4:$AB$9)+SUMIF(Apr!$Z$4:$Z$9,A23,Apr!$AB$4:$AB$9)+SUMIF(Mei!$Z$4:$Z$9,A23,Mei!$AB$4:$AB$9)+SUMIF(Jun!$Z$4:$Z$9,A23,Jun!$AB$4:$AB$9)+SUMIF(Jul!$Z$4:$Z$9,A23,Jul!$AB$4:$AB$9)+SUMIF(Aug!$Z$4:$Z$9,A23,Aug!$AB$4:$AB$9)+SUMIF(Sep!$Z$4:$Z$9,A23,Sep!$AB$4:$AB$9)+SUMIF(Okt!$Z$4:$Z$9,A23,Okt!$AB$4:$AB$9)+SUMIF(Nov!$Z$4:$Z$9,A23,Nov!$AB$4:$AB$9)+SUMIF(Dec!$Z$4:$Z$9,A23,Dec!$AB$4:$AB$9)</f>
        <v>0</v>
      </c>
      <c r="F23" s="247" t="str">
        <f>IF(C23="JA",0,IF(E23-B23&lt;0,"",(E23-B23)*D23))</f>
        <v/>
      </c>
      <c r="G23" s="238">
        <f t="shared" ref="G23:G74" si="5">IF(C23="",0,IF(D23&lt;&gt;1,0,IF(E23-B23&lt;0,0,E23-B23)))</f>
        <v>0</v>
      </c>
      <c r="H23" s="273">
        <f>B23*24</f>
        <v>40</v>
      </c>
      <c r="I23" s="277"/>
      <c r="J23" s="45"/>
      <c r="K23" s="322" t="s">
        <v>88</v>
      </c>
      <c r="L23" s="323"/>
      <c r="M23" s="323"/>
      <c r="N23" s="323"/>
      <c r="O23" s="235">
        <f>L17</f>
        <v>0</v>
      </c>
      <c r="S23" s="23"/>
      <c r="T23" s="23"/>
      <c r="U23" s="23"/>
      <c r="V23" s="23"/>
    </row>
    <row r="24" spans="1:27" ht="16.5" thickBot="1" x14ac:dyDescent="0.3">
      <c r="A24" s="160">
        <v>2</v>
      </c>
      <c r="B24" s="187">
        <v>1.6666666666666667</v>
      </c>
      <c r="C24" s="183"/>
      <c r="D24" s="182">
        <v>1</v>
      </c>
      <c r="E24" s="248">
        <f>SUMIF(Jan!$Z$4:$Z$9,A24,Jan!$AB$4:$AB$9)+SUMIF(Feb!$Z$4:$Z$9,A24,Feb!$AB$4:$AB$9)+SUMIF(Maa!$Z$4:$Z$9,A24,Maa!$AB$4:$AB$9)+SUMIF(Apr!$Z$4:$Z$9,A24,Apr!$AB$4:$AB$9)+SUMIF(Mei!$Z$4:$Z$9,A24,Mei!$AB$4:$AB$9)+SUMIF(Jun!$Z$4:$Z$9,A24,Jun!$AB$4:$AB$9)+SUMIF(Jul!$Z$4:$Z$9,A24,Jul!$AB$4:$AB$9)+SUMIF(Aug!$Z$4:$Z$9,A24,Aug!$AB$4:$AB$9)+SUMIF(Sep!$Z$4:$Z$9,A24,Sep!$AB$4:$AB$9)+SUMIF(Okt!$Z$4:$Z$9,A24,Okt!$AB$4:$AB$9)+SUMIF(Nov!$Z$4:$Z$9,A24,Nov!$AB$4:$AB$9)+SUMIF(Dec!$Z$4:$Z$9,A24,Dec!$AB$4:$AB$9)</f>
        <v>0</v>
      </c>
      <c r="F24" s="247" t="str">
        <f t="shared" ref="F24:F74" si="6">IF(C24="JA",0,IF(E24-B24&lt;0,"",(E24-B24)*D24))</f>
        <v/>
      </c>
      <c r="G24" s="238">
        <f>IF(C24="",0,IF(D24&lt;&gt;1,0,IF(E24-B24&lt;0,0,E24-B24)))</f>
        <v>0</v>
      </c>
      <c r="H24" s="272">
        <f t="shared" ref="H24:H74" si="7">B24*24</f>
        <v>40</v>
      </c>
      <c r="I24" s="277"/>
      <c r="J24" s="45"/>
      <c r="K24" s="324" t="s">
        <v>89</v>
      </c>
      <c r="L24" s="325"/>
      <c r="M24" s="325"/>
      <c r="N24" s="325"/>
      <c r="O24" s="244">
        <f>O22-O23</f>
        <v>0</v>
      </c>
      <c r="S24" s="23"/>
      <c r="T24" s="23"/>
      <c r="U24" s="23"/>
      <c r="V24" s="23"/>
    </row>
    <row r="25" spans="1:27" ht="16.5" thickBot="1" x14ac:dyDescent="0.3">
      <c r="A25" s="160">
        <v>3</v>
      </c>
      <c r="B25" s="186">
        <v>1.6666666666666701</v>
      </c>
      <c r="C25" s="183"/>
      <c r="D25" s="182">
        <v>1</v>
      </c>
      <c r="E25" s="248">
        <f>SUMIF(Jan!$Z$4:$Z$9,A25,Jan!$AB$4:$AB$9)+SUMIF(Feb!$Z$4:$Z$9,A25,Feb!$AB$4:$AB$9)+SUMIF(Maa!$Z$4:$Z$9,A25,Maa!$AB$4:$AB$9)+SUMIF(Apr!$Z$4:$Z$9,A25,Apr!$AB$4:$AB$9)+SUMIF(Mei!$Z$4:$Z$9,A25,Mei!$AB$4:$AB$9)+SUMIF(Jun!$Z$4:$Z$9,A25,Jun!$AB$4:$AB$9)+SUMIF(Jul!$Z$4:$Z$9,A25,Jul!$AB$4:$AB$9)+SUMIF(Aug!$Z$4:$Z$9,A25,Aug!$AB$4:$AB$9)+SUMIF(Sep!$Z$4:$Z$9,A25,Sep!$AB$4:$AB$9)+SUMIF(Okt!$Z$4:$Z$9,A25,Okt!$AB$4:$AB$9)+SUMIF(Nov!$Z$4:$Z$9,A25,Nov!$AB$4:$AB$9)+SUMIF(Dec!$Z$4:$Z$9,A25,Dec!$AB$4:$AB$9)</f>
        <v>0</v>
      </c>
      <c r="F25" s="247" t="str">
        <f>IF(C25="JA",0,IF(E25-B25&lt;0,"",(E25-B25)*D25))</f>
        <v/>
      </c>
      <c r="G25" s="238">
        <f t="shared" si="5"/>
        <v>0</v>
      </c>
      <c r="H25" s="273">
        <f t="shared" si="7"/>
        <v>40.000000000000085</v>
      </c>
      <c r="I25" s="277"/>
      <c r="J25" s="45"/>
      <c r="K25" s="161"/>
      <c r="L25" s="161"/>
      <c r="M25" s="22"/>
      <c r="N25" s="22"/>
      <c r="P25" s="23"/>
      <c r="Q25" s="23"/>
      <c r="R25" s="23"/>
      <c r="S25" s="23"/>
    </row>
    <row r="26" spans="1:27" x14ac:dyDescent="0.25">
      <c r="A26" s="160">
        <v>4</v>
      </c>
      <c r="B26" s="187">
        <v>1.6666666666666701</v>
      </c>
      <c r="C26" s="183"/>
      <c r="D26" s="182">
        <v>1</v>
      </c>
      <c r="E26" s="248">
        <f>SUMIF(Jan!$Z$4:$Z$9,A26,Jan!$AB$4:$AB$9)+SUMIF(Feb!$Z$4:$Z$9,A26,Feb!$AB$4:$AB$9)+SUMIF(Maa!$Z$4:$Z$9,A26,Maa!$AB$4:$AB$9)+SUMIF(Apr!$Z$4:$Z$9,A26,Apr!$AB$4:$AB$9)+SUMIF(Mei!$Z$4:$Z$9,A26,Mei!$AB$4:$AB$9)+SUMIF(Jun!$Z$4:$Z$9,A26,Jun!$AB$4:$AB$9)+SUMIF(Jul!$Z$4:$Z$9,A26,Jul!$AB$4:$AB$9)+SUMIF(Aug!$Z$4:$Z$9,A26,Aug!$AB$4:$AB$9)+SUMIF(Sep!$Z$4:$Z$9,A26,Sep!$AB$4:$AB$9)+SUMIF(Okt!$Z$4:$Z$9,A26,Okt!$AB$4:$AB$9)+SUMIF(Nov!$Z$4:$Z$9,A26,Nov!$AB$4:$AB$9)+SUMIF(Dec!$Z$4:$Z$9,A26,Dec!$AB$4:$AB$9)</f>
        <v>0</v>
      </c>
      <c r="F26" s="247" t="str">
        <f t="shared" si="6"/>
        <v/>
      </c>
      <c r="G26" s="238">
        <f t="shared" si="5"/>
        <v>0</v>
      </c>
      <c r="H26" s="272">
        <f t="shared" si="7"/>
        <v>40.000000000000085</v>
      </c>
      <c r="I26" s="277"/>
      <c r="J26" s="45"/>
      <c r="K26" s="320" t="s">
        <v>119</v>
      </c>
      <c r="L26" s="321"/>
      <c r="M26" s="321"/>
      <c r="N26" s="321"/>
      <c r="O26" s="234">
        <f>H81</f>
        <v>0</v>
      </c>
      <c r="P26" s="23"/>
      <c r="Q26" s="23"/>
      <c r="R26" s="23"/>
      <c r="S26" s="23"/>
    </row>
    <row r="27" spans="1:27" x14ac:dyDescent="0.25">
      <c r="A27" s="160">
        <v>5</v>
      </c>
      <c r="B27" s="186">
        <v>1.6666666666666701</v>
      </c>
      <c r="C27" s="183"/>
      <c r="D27" s="182">
        <v>1</v>
      </c>
      <c r="E27" s="248">
        <f>SUMIF(Jan!$Z$4:$Z$9,A27,Jan!$AB$4:$AB$9)+SUMIF(Feb!$Z$4:$Z$9,A27,Feb!$AB$4:$AB$9)+SUMIF(Maa!$Z$4:$Z$9,A27,Maa!$AB$4:$AB$9)+SUMIF(Apr!$Z$4:$Z$9,A27,Apr!$AB$4:$AB$9)+SUMIF(Mei!$Z$4:$Z$9,A27,Mei!$AB$4:$AB$9)+SUMIF(Jun!$Z$4:$Z$9,A27,Jun!$AB$4:$AB$9)+SUMIF(Jul!$Z$4:$Z$9,A27,Jul!$AB$4:$AB$9)+SUMIF(Aug!$Z$4:$Z$9,A27,Aug!$AB$4:$AB$9)+SUMIF(Sep!$Z$4:$Z$9,A27,Sep!$AB$4:$AB$9)+SUMIF(Okt!$Z$4:$Z$9,A27,Okt!$AB$4:$AB$9)+SUMIF(Nov!$Z$4:$Z$9,A27,Nov!$AB$4:$AB$9)+SUMIF(Dec!$Z$4:$Z$9,A27,Dec!$AB$4:$AB$9)</f>
        <v>0</v>
      </c>
      <c r="F27" s="247" t="str">
        <f t="shared" si="6"/>
        <v/>
      </c>
      <c r="G27" s="238">
        <f t="shared" si="5"/>
        <v>0</v>
      </c>
      <c r="H27" s="273">
        <f t="shared" si="7"/>
        <v>40.000000000000085</v>
      </c>
      <c r="I27" s="277"/>
      <c r="J27" s="45"/>
      <c r="K27" s="322" t="s">
        <v>120</v>
      </c>
      <c r="L27" s="323"/>
      <c r="M27" s="323"/>
      <c r="N27" s="323"/>
      <c r="O27" s="243">
        <f>J17</f>
        <v>0</v>
      </c>
      <c r="P27" s="23"/>
      <c r="Q27" s="23"/>
      <c r="R27" s="23"/>
      <c r="S27" s="23"/>
    </row>
    <row r="28" spans="1:27" ht="16.5" thickBot="1" x14ac:dyDescent="0.3">
      <c r="A28" s="160">
        <v>6</v>
      </c>
      <c r="B28" s="187">
        <v>1.6666666666666701</v>
      </c>
      <c r="C28" s="183"/>
      <c r="D28" s="182">
        <v>1</v>
      </c>
      <c r="E28" s="248">
        <f>SUMIF(Jan!$Z$4:$Z$9,A28,Jan!$AB$4:$AB$9)+SUMIF(Feb!$Z$4:$Z$9,A28,Feb!$AB$4:$AB$9)+SUMIF(Maa!$Z$4:$Z$9,A28,Maa!$AB$4:$AB$9)+SUMIF(Apr!$Z$4:$Z$9,A28,Apr!$AB$4:$AB$9)+SUMIF(Mei!$Z$4:$Z$9,A28,Mei!$AB$4:$AB$9)+SUMIF(Jun!$Z$4:$Z$9,A28,Jun!$AB$4:$AB$9)+SUMIF(Jul!$Z$4:$Z$9,A28,Jul!$AB$4:$AB$9)+SUMIF(Aug!$Z$4:$Z$9,A28,Aug!$AB$4:$AB$9)+SUMIF(Sep!$Z$4:$Z$9,A28,Sep!$AB$4:$AB$9)+SUMIF(Okt!$Z$4:$Z$9,A28,Okt!$AB$4:$AB$9)+SUMIF(Nov!$Z$4:$Z$9,A28,Nov!$AB$4:$AB$9)+SUMIF(Dec!$Z$4:$Z$9,A28,Dec!$AB$4:$AB$9)</f>
        <v>0</v>
      </c>
      <c r="F28" s="247" t="str">
        <f t="shared" si="6"/>
        <v/>
      </c>
      <c r="G28" s="238">
        <f t="shared" si="5"/>
        <v>0</v>
      </c>
      <c r="H28" s="272">
        <f t="shared" si="7"/>
        <v>40.000000000000085</v>
      </c>
      <c r="I28" s="277"/>
      <c r="J28" s="45"/>
      <c r="K28" s="324" t="s">
        <v>121</v>
      </c>
      <c r="L28" s="325"/>
      <c r="M28" s="325"/>
      <c r="N28" s="325"/>
      <c r="O28" s="244">
        <f>O26-O27</f>
        <v>0</v>
      </c>
      <c r="P28" s="23"/>
      <c r="Q28" s="23"/>
      <c r="R28" s="23"/>
      <c r="S28" s="23"/>
    </row>
    <row r="29" spans="1:27" ht="16.5" thickBot="1" x14ac:dyDescent="0.3">
      <c r="A29" s="160">
        <v>7</v>
      </c>
      <c r="B29" s="186">
        <v>1.6666666666666701</v>
      </c>
      <c r="C29" s="183"/>
      <c r="D29" s="182">
        <v>1</v>
      </c>
      <c r="E29" s="248">
        <f>SUMIF(Jan!$Z$4:$Z$9,A29,Jan!$AB$4:$AB$9)+SUMIF(Feb!$Z$4:$Z$9,A29,Feb!$AB$4:$AB$9)+SUMIF(Maa!$Z$4:$Z$9,A29,Maa!$AB$4:$AB$9)+SUMIF(Apr!$Z$4:$Z$9,A29,Apr!$AB$4:$AB$9)+SUMIF(Mei!$Z$4:$Z$9,A29,Mei!$AB$4:$AB$9)+SUMIF(Jun!$Z$4:$Z$9,A29,Jun!$AB$4:$AB$9)+SUMIF(Jul!$Z$4:$Z$9,A29,Jul!$AB$4:$AB$9)+SUMIF(Aug!$Z$4:$Z$9,A29,Aug!$AB$4:$AB$9)+SUMIF(Sep!$Z$4:$Z$9,A29,Sep!$AB$4:$AB$9)+SUMIF(Okt!$Z$4:$Z$9,A29,Okt!$AB$4:$AB$9)+SUMIF(Nov!$Z$4:$Z$9,A29,Nov!$AB$4:$AB$9)+SUMIF(Dec!$Z$4:$Z$9,A29,Dec!$AB$4:$AB$9)</f>
        <v>0</v>
      </c>
      <c r="F29" s="247" t="str">
        <f t="shared" si="6"/>
        <v/>
      </c>
      <c r="G29" s="238">
        <f t="shared" si="5"/>
        <v>0</v>
      </c>
      <c r="H29" s="273">
        <f t="shared" si="7"/>
        <v>40.000000000000085</v>
      </c>
      <c r="I29" s="277"/>
      <c r="J29" s="45"/>
      <c r="K29" s="161"/>
      <c r="L29" s="161"/>
      <c r="M29" s="22"/>
      <c r="N29" s="22"/>
      <c r="P29" s="23"/>
      <c r="Q29" s="23"/>
      <c r="R29" s="23"/>
      <c r="S29" s="23"/>
    </row>
    <row r="30" spans="1:27" ht="16.5" thickBot="1" x14ac:dyDescent="0.3">
      <c r="A30" s="160">
        <v>8</v>
      </c>
      <c r="B30" s="187">
        <v>1.6666666666666701</v>
      </c>
      <c r="C30" s="183"/>
      <c r="D30" s="182">
        <v>1</v>
      </c>
      <c r="E30" s="248">
        <f>SUMIF(Jan!$Z$4:$Z$9,A30,Jan!$AB$4:$AB$9)+SUMIF(Feb!$Z$4:$Z$9,A30,Feb!$AB$4:$AB$9)+SUMIF(Maa!$Z$4:$Z$9,A30,Maa!$AB$4:$AB$9)+SUMIF(Apr!$Z$4:$Z$9,A30,Apr!$AB$4:$AB$9)+SUMIF(Mei!$Z$4:$Z$9,A30,Mei!$AB$4:$AB$9)+SUMIF(Jun!$Z$4:$Z$9,A30,Jun!$AB$4:$AB$9)+SUMIF(Jul!$Z$4:$Z$9,A30,Jul!$AB$4:$AB$9)+SUMIF(Aug!$Z$4:$Z$9,A30,Aug!$AB$4:$AB$9)+SUMIF(Sep!$Z$4:$Z$9,A30,Sep!$AB$4:$AB$9)+SUMIF(Okt!$Z$4:$Z$9,A30,Okt!$AB$4:$AB$9)+SUMIF(Nov!$Z$4:$Z$9,A30,Nov!$AB$4:$AB$9)+SUMIF(Dec!$Z$4:$Z$9,A30,Dec!$AB$4:$AB$9)</f>
        <v>0</v>
      </c>
      <c r="F30" s="247" t="str">
        <f t="shared" si="6"/>
        <v/>
      </c>
      <c r="G30" s="238">
        <f t="shared" si="5"/>
        <v>0</v>
      </c>
      <c r="H30" s="272">
        <f t="shared" si="7"/>
        <v>40.000000000000085</v>
      </c>
      <c r="I30" s="277"/>
      <c r="J30" s="45"/>
      <c r="K30" s="326" t="s">
        <v>124</v>
      </c>
      <c r="L30" s="327"/>
      <c r="M30" s="327"/>
      <c r="N30" s="327"/>
      <c r="O30" s="255">
        <f>G76*24</f>
        <v>0</v>
      </c>
      <c r="P30" s="23"/>
      <c r="Q30" s="23"/>
      <c r="R30" s="23"/>
      <c r="S30" s="23"/>
    </row>
    <row r="31" spans="1:27" ht="16.5" thickBot="1" x14ac:dyDescent="0.3">
      <c r="A31" s="160">
        <v>9</v>
      </c>
      <c r="B31" s="186">
        <v>1.6666666666666701</v>
      </c>
      <c r="C31" s="183"/>
      <c r="D31" s="182">
        <v>1</v>
      </c>
      <c r="E31" s="248">
        <f>SUMIF(Jan!$Z$4:$Z$9,A31,Jan!$AB$4:$AB$9)+SUMIF(Feb!$Z$4:$Z$9,A31,Feb!$AB$4:$AB$9)+SUMIF(Maa!$Z$4:$Z$9,A31,Maa!$AB$4:$AB$9)+SUMIF(Apr!$Z$4:$Z$9,A31,Apr!$AB$4:$AB$9)+SUMIF(Mei!$Z$4:$Z$9,A31,Mei!$AB$4:$AB$9)+SUMIF(Jun!$Z$4:$Z$9,A31,Jun!$AB$4:$AB$9)+SUMIF(Jul!$Z$4:$Z$9,A31,Jul!$AB$4:$AB$9)+SUMIF(Aug!$Z$4:$Z$9,A31,Aug!$AB$4:$AB$9)+SUMIF(Sep!$Z$4:$Z$9,A31,Sep!$AB$4:$AB$9)+SUMIF(Okt!$Z$4:$Z$9,A31,Okt!$AB$4:$AB$9)+SUMIF(Nov!$Z$4:$Z$9,A31,Nov!$AB$4:$AB$9)+SUMIF(Dec!$Z$4:$Z$9,A31,Dec!$AB$4:$AB$9)</f>
        <v>0</v>
      </c>
      <c r="F31" s="247" t="str">
        <f t="shared" si="6"/>
        <v/>
      </c>
      <c r="G31" s="238">
        <f t="shared" si="5"/>
        <v>0</v>
      </c>
      <c r="H31" s="273">
        <f t="shared" si="7"/>
        <v>40.000000000000085</v>
      </c>
      <c r="I31" s="277"/>
      <c r="K31" s="22"/>
      <c r="L31" s="22"/>
      <c r="M31" s="22"/>
      <c r="N31" s="22"/>
      <c r="P31" s="23"/>
      <c r="Q31" s="23"/>
      <c r="R31" s="23"/>
      <c r="S31" s="23"/>
    </row>
    <row r="32" spans="1:27" x14ac:dyDescent="0.25">
      <c r="A32" s="160">
        <v>10</v>
      </c>
      <c r="B32" s="187">
        <v>1.6666666666666701</v>
      </c>
      <c r="C32" s="183"/>
      <c r="D32" s="182">
        <v>1</v>
      </c>
      <c r="E32" s="248">
        <f>SUMIF(Jan!$Z$4:$Z$9,A32,Jan!$AB$4:$AB$9)+SUMIF(Feb!$Z$4:$Z$9,A32,Feb!$AB$4:$AB$9)+SUMIF(Maa!$Z$4:$Z$9,A32,Maa!$AB$4:$AB$9)+SUMIF(Apr!$Z$4:$Z$9,A32,Apr!$AB$4:$AB$9)+SUMIF(Mei!$Z$4:$Z$9,A32,Mei!$AB$4:$AB$9)+SUMIF(Jun!$Z$4:$Z$9,A32,Jun!$AB$4:$AB$9)+SUMIF(Jul!$Z$4:$Z$9,A32,Jul!$AB$4:$AB$9)+SUMIF(Aug!$Z$4:$Z$9,A32,Aug!$AB$4:$AB$9)+SUMIF(Sep!$Z$4:$Z$9,A32,Sep!$AB$4:$AB$9)+SUMIF(Okt!$Z$4:$Z$9,A32,Okt!$AB$4:$AB$9)+SUMIF(Nov!$Z$4:$Z$9,A32,Nov!$AB$4:$AB$9)+SUMIF(Dec!$Z$4:$Z$9,A32,Dec!$AB$4:$AB$9)</f>
        <v>0</v>
      </c>
      <c r="F32" s="247" t="str">
        <f t="shared" si="6"/>
        <v/>
      </c>
      <c r="G32" s="238">
        <f t="shared" si="5"/>
        <v>0</v>
      </c>
      <c r="H32" s="272">
        <f t="shared" si="7"/>
        <v>40.000000000000085</v>
      </c>
      <c r="I32" s="277"/>
      <c r="K32" s="328" t="s">
        <v>127</v>
      </c>
      <c r="L32" s="329"/>
      <c r="M32" s="329"/>
      <c r="N32" s="329"/>
      <c r="O32" s="252"/>
      <c r="P32" s="23"/>
      <c r="Q32" s="23"/>
      <c r="R32" s="23"/>
      <c r="S32" s="23"/>
    </row>
    <row r="33" spans="1:19" x14ac:dyDescent="0.25">
      <c r="A33" s="160">
        <v>11</v>
      </c>
      <c r="B33" s="186">
        <v>1.6666666666666701</v>
      </c>
      <c r="C33" s="183"/>
      <c r="D33" s="182">
        <v>1</v>
      </c>
      <c r="E33" s="248">
        <f>SUMIF(Jan!$Z$4:$Z$9,A33,Jan!$AB$4:$AB$9)+SUMIF(Feb!$Z$4:$Z$9,A33,Feb!$AB$4:$AB$9)+SUMIF(Maa!$Z$4:$Z$9,A33,Maa!$AB$4:$AB$9)+SUMIF(Apr!$Z$4:$Z$9,A33,Apr!$AB$4:$AB$9)+SUMIF(Mei!$Z$4:$Z$9,A33,Mei!$AB$4:$AB$9)+SUMIF(Jun!$Z$4:$Z$9,A33,Jun!$AB$4:$AB$9)+SUMIF(Jul!$Z$4:$Z$9,A33,Jul!$AB$4:$AB$9)+SUMIF(Aug!$Z$4:$Z$9,A33,Aug!$AB$4:$AB$9)+SUMIF(Sep!$Z$4:$Z$9,A33,Sep!$AB$4:$AB$9)+SUMIF(Okt!$Z$4:$Z$9,A33,Okt!$AB$4:$AB$9)+SUMIF(Nov!$Z$4:$Z$9,A33,Nov!$AB$4:$AB$9)+SUMIF(Dec!$Z$4:$Z$9,A33,Dec!$AB$4:$AB$9)</f>
        <v>0</v>
      </c>
      <c r="F33" s="247" t="str">
        <f t="shared" si="6"/>
        <v/>
      </c>
      <c r="G33" s="238">
        <f t="shared" si="5"/>
        <v>0</v>
      </c>
      <c r="H33" s="273">
        <f t="shared" si="7"/>
        <v>40.000000000000085</v>
      </c>
      <c r="I33" s="277"/>
      <c r="K33" s="330" t="s">
        <v>131</v>
      </c>
      <c r="L33" s="331"/>
      <c r="M33" s="331"/>
      <c r="N33" s="331"/>
      <c r="O33" s="253">
        <f>Jan!AE35+Feb!AE33+Maa!AE35+Apr!AE34+Mei!AE35+Jun!AE34+Jul!AE35+Aug!AE35+Sep!AE34+Okt!AE35+Nov!AE34+Dec!AE35</f>
        <v>0</v>
      </c>
      <c r="P33" s="23"/>
      <c r="Q33" s="23"/>
      <c r="R33" s="23"/>
      <c r="S33" s="23"/>
    </row>
    <row r="34" spans="1:19" ht="16.5" thickBot="1" x14ac:dyDescent="0.3">
      <c r="A34" s="160">
        <v>12</v>
      </c>
      <c r="B34" s="187">
        <v>1.6666666666666701</v>
      </c>
      <c r="C34" s="183"/>
      <c r="D34" s="182">
        <v>1</v>
      </c>
      <c r="E34" s="248">
        <f>SUMIF(Jan!$Z$4:$Z$9,A34,Jan!$AB$4:$AB$9)+SUMIF(Feb!$Z$4:$Z$9,A34,Feb!$AB$4:$AB$9)+SUMIF(Maa!$Z$4:$Z$9,A34,Maa!$AB$4:$AB$9)+SUMIF(Apr!$Z$4:$Z$9,A34,Apr!$AB$4:$AB$9)+SUMIF(Mei!$Z$4:$Z$9,A34,Mei!$AB$4:$AB$9)+SUMIF(Jun!$Z$4:$Z$9,A34,Jun!$AB$4:$AB$9)+SUMIF(Jul!$Z$4:$Z$9,A34,Jul!$AB$4:$AB$9)+SUMIF(Aug!$Z$4:$Z$9,A34,Aug!$AB$4:$AB$9)+SUMIF(Sep!$Z$4:$Z$9,A34,Sep!$AB$4:$AB$9)+SUMIF(Okt!$Z$4:$Z$9,A34,Okt!$AB$4:$AB$9)+SUMIF(Nov!$Z$4:$Z$9,A34,Nov!$AB$4:$AB$9)+SUMIF(Dec!$Z$4:$Z$9,A34,Dec!$AB$4:$AB$9)</f>
        <v>0</v>
      </c>
      <c r="F34" s="247" t="str">
        <f t="shared" si="6"/>
        <v/>
      </c>
      <c r="G34" s="238">
        <f t="shared" si="5"/>
        <v>0</v>
      </c>
      <c r="H34" s="272">
        <f t="shared" si="7"/>
        <v>40.000000000000085</v>
      </c>
      <c r="I34" s="277"/>
      <c r="J34" s="45"/>
      <c r="K34" s="332" t="s">
        <v>128</v>
      </c>
      <c r="L34" s="333"/>
      <c r="M34" s="333"/>
      <c r="N34" s="333"/>
      <c r="O34" s="254">
        <f>O32+O33</f>
        <v>0</v>
      </c>
      <c r="P34" s="23"/>
      <c r="Q34" s="23"/>
      <c r="R34" s="23"/>
      <c r="S34" s="23"/>
    </row>
    <row r="35" spans="1:19" x14ac:dyDescent="0.25">
      <c r="A35" s="160">
        <v>13</v>
      </c>
      <c r="B35" s="186">
        <v>1.6666666666666701</v>
      </c>
      <c r="C35" s="183"/>
      <c r="D35" s="182">
        <v>1</v>
      </c>
      <c r="E35" s="248">
        <f>SUMIF(Jan!$Z$4:$Z$9,A35,Jan!$AB$4:$AB$9)+SUMIF(Feb!$Z$4:$Z$9,A35,Feb!$AB$4:$AB$9)+SUMIF(Maa!$Z$4:$Z$9,A35,Maa!$AB$4:$AB$9)+SUMIF(Apr!$Z$4:$Z$9,A35,Apr!$AB$4:$AB$9)+SUMIF(Mei!$Z$4:$Z$9,A35,Mei!$AB$4:$AB$9)+SUMIF(Jun!$Z$4:$Z$9,A35,Jun!$AB$4:$AB$9)+SUMIF(Jul!$Z$4:$Z$9,A35,Jul!$AB$4:$AB$9)+SUMIF(Aug!$Z$4:$Z$9,A35,Aug!$AB$4:$AB$9)+SUMIF(Sep!$Z$4:$Z$9,A35,Sep!$AB$4:$AB$9)+SUMIF(Okt!$Z$4:$Z$9,A35,Okt!$AB$4:$AB$9)+SUMIF(Nov!$Z$4:$Z$9,A35,Nov!$AB$4:$AB$9)+SUMIF(Dec!$Z$4:$Z$9,A35,Dec!$AB$4:$AB$9)</f>
        <v>0</v>
      </c>
      <c r="F35" s="247" t="str">
        <f t="shared" si="6"/>
        <v/>
      </c>
      <c r="G35" s="238">
        <f t="shared" si="5"/>
        <v>0</v>
      </c>
      <c r="H35" s="273">
        <f t="shared" si="7"/>
        <v>40.000000000000085</v>
      </c>
      <c r="I35" s="277"/>
      <c r="J35" s="45"/>
      <c r="K35" s="161"/>
      <c r="L35" s="161"/>
      <c r="M35" s="22"/>
      <c r="N35" s="22"/>
      <c r="P35" s="23"/>
      <c r="Q35" s="23"/>
      <c r="R35" s="23"/>
      <c r="S35" s="23"/>
    </row>
    <row r="36" spans="1:19" x14ac:dyDescent="0.25">
      <c r="A36" s="160">
        <v>14</v>
      </c>
      <c r="B36" s="187">
        <v>1.6666666666666701</v>
      </c>
      <c r="C36" s="183"/>
      <c r="D36" s="182">
        <v>1</v>
      </c>
      <c r="E36" s="248">
        <f>SUMIF(Jan!$Z$4:$Z$9,A36,Jan!$AB$4:$AB$9)+SUMIF(Feb!$Z$4:$Z$9,A36,Feb!$AB$4:$AB$9)+SUMIF(Maa!$Z$4:$Z$9,A36,Maa!$AB$4:$AB$9)+SUMIF(Apr!$Z$4:$Z$9,A36,Apr!$AB$4:$AB$9)+SUMIF(Mei!$Z$4:$Z$9,A36,Mei!$AB$4:$AB$9)+SUMIF(Jun!$Z$4:$Z$9,A36,Jun!$AB$4:$AB$9)+SUMIF(Jul!$Z$4:$Z$9,A36,Jul!$AB$4:$AB$9)+SUMIF(Aug!$Z$4:$Z$9,A36,Aug!$AB$4:$AB$9)+SUMIF(Sep!$Z$4:$Z$9,A36,Sep!$AB$4:$AB$9)+SUMIF(Okt!$Z$4:$Z$9,A36,Okt!$AB$4:$AB$9)+SUMIF(Nov!$Z$4:$Z$9,A36,Nov!$AB$4:$AB$9)+SUMIF(Dec!$Z$4:$Z$9,A36,Dec!$AB$4:$AB$9)</f>
        <v>0</v>
      </c>
      <c r="F36" s="247" t="str">
        <f t="shared" si="6"/>
        <v/>
      </c>
      <c r="G36" s="238">
        <f t="shared" si="5"/>
        <v>0</v>
      </c>
      <c r="H36" s="272">
        <f t="shared" si="7"/>
        <v>40.000000000000085</v>
      </c>
      <c r="I36" s="277"/>
      <c r="J36" s="45"/>
      <c r="K36" s="161"/>
      <c r="L36" s="161"/>
      <c r="M36" s="22"/>
      <c r="N36" s="22"/>
      <c r="P36" s="23"/>
      <c r="Q36" s="23"/>
      <c r="R36" s="23"/>
      <c r="S36" s="23"/>
    </row>
    <row r="37" spans="1:19" x14ac:dyDescent="0.25">
      <c r="A37" s="160">
        <v>15</v>
      </c>
      <c r="B37" s="186">
        <v>1.6666666666666701</v>
      </c>
      <c r="C37" s="183"/>
      <c r="D37" s="182">
        <v>1</v>
      </c>
      <c r="E37" s="248">
        <f>SUMIF(Jan!$Z$4:$Z$9,A37,Jan!$AB$4:$AB$9)+SUMIF(Feb!$Z$4:$Z$9,A37,Feb!$AB$4:$AB$9)+SUMIF(Maa!$Z$4:$Z$9,A37,Maa!$AB$4:$AB$9)+SUMIF(Apr!$Z$4:$Z$9,A37,Apr!$AB$4:$AB$9)+SUMIF(Mei!$Z$4:$Z$9,A37,Mei!$AB$4:$AB$9)+SUMIF(Jun!$Z$4:$Z$9,A37,Jun!$AB$4:$AB$9)+SUMIF(Jul!$Z$4:$Z$9,A37,Jul!$AB$4:$AB$9)+SUMIF(Aug!$Z$4:$Z$9,A37,Aug!$AB$4:$AB$9)+SUMIF(Sep!$Z$4:$Z$9,A37,Sep!$AB$4:$AB$9)+SUMIF(Okt!$Z$4:$Z$9,A37,Okt!$AB$4:$AB$9)+SUMIF(Nov!$Z$4:$Z$9,A37,Nov!$AB$4:$AB$9)+SUMIF(Dec!$Z$4:$Z$9,A37,Dec!$AB$4:$AB$9)</f>
        <v>0</v>
      </c>
      <c r="F37" s="247" t="str">
        <f t="shared" si="6"/>
        <v/>
      </c>
      <c r="G37" s="238">
        <f t="shared" si="5"/>
        <v>0</v>
      </c>
      <c r="H37" s="273">
        <f t="shared" si="7"/>
        <v>40.000000000000085</v>
      </c>
      <c r="I37" s="277"/>
      <c r="J37" s="45"/>
      <c r="K37" s="161"/>
      <c r="L37" s="161"/>
      <c r="M37" s="22"/>
      <c r="N37" s="22"/>
      <c r="P37" s="23"/>
      <c r="Q37" s="23"/>
      <c r="R37" s="23"/>
      <c r="S37" s="23"/>
    </row>
    <row r="38" spans="1:19" x14ac:dyDescent="0.25">
      <c r="A38" s="160">
        <v>16</v>
      </c>
      <c r="B38" s="187">
        <v>1.6666666666666701</v>
      </c>
      <c r="C38" s="183"/>
      <c r="D38" s="182">
        <v>1</v>
      </c>
      <c r="E38" s="248">
        <f>SUMIF(Jan!$Z$4:$Z$9,A38,Jan!$AB$4:$AB$9)+SUMIF(Feb!$Z$4:$Z$9,A38,Feb!$AB$4:$AB$9)+SUMIF(Maa!$Z$4:$Z$9,A38,Maa!$AB$4:$AB$9)+SUMIF(Apr!$Z$4:$Z$9,A38,Apr!$AB$4:$AB$9)+SUMIF(Mei!$Z$4:$Z$9,A38,Mei!$AB$4:$AB$9)+SUMIF(Jun!$Z$4:$Z$9,A38,Jun!$AB$4:$AB$9)+SUMIF(Jul!$Z$4:$Z$9,A38,Jul!$AB$4:$AB$9)+SUMIF(Aug!$Z$4:$Z$9,A38,Aug!$AB$4:$AB$9)+SUMIF(Sep!$Z$4:$Z$9,A38,Sep!$AB$4:$AB$9)+SUMIF(Okt!$Z$4:$Z$9,A38,Okt!$AB$4:$AB$9)+SUMIF(Nov!$Z$4:$Z$9,A38,Nov!$AB$4:$AB$9)+SUMIF(Dec!$Z$4:$Z$9,A38,Dec!$AB$4:$AB$9)</f>
        <v>0</v>
      </c>
      <c r="F38" s="247" t="str">
        <f t="shared" si="6"/>
        <v/>
      </c>
      <c r="G38" s="238">
        <f t="shared" si="5"/>
        <v>0</v>
      </c>
      <c r="H38" s="272">
        <f t="shared" si="7"/>
        <v>40.000000000000085</v>
      </c>
      <c r="I38" s="277"/>
      <c r="J38" s="45"/>
      <c r="K38" s="161"/>
      <c r="L38" s="161"/>
      <c r="M38" s="22"/>
      <c r="N38" s="22"/>
      <c r="P38" s="23"/>
      <c r="Q38" s="23"/>
      <c r="R38" s="23"/>
      <c r="S38" s="23"/>
    </row>
    <row r="39" spans="1:19" x14ac:dyDescent="0.25">
      <c r="A39" s="160">
        <v>17</v>
      </c>
      <c r="B39" s="186">
        <v>1.6666666666666701</v>
      </c>
      <c r="C39" s="183"/>
      <c r="D39" s="182">
        <v>1</v>
      </c>
      <c r="E39" s="248">
        <f>SUMIF(Jan!$Z$4:$Z$9,A39,Jan!$AB$4:$AB$9)+SUMIF(Feb!$Z$4:$Z$9,A39,Feb!$AB$4:$AB$9)+SUMIF(Maa!$Z$4:$Z$9,A39,Maa!$AB$4:$AB$9)+SUMIF(Apr!$Z$4:$Z$9,A39,Apr!$AB$4:$AB$9)+SUMIF(Mei!$Z$4:$Z$9,A39,Mei!$AB$4:$AB$9)+SUMIF(Jun!$Z$4:$Z$9,A39,Jun!$AB$4:$AB$9)+SUMIF(Jul!$Z$4:$Z$9,A39,Jul!$AB$4:$AB$9)+SUMIF(Aug!$Z$4:$Z$9,A39,Aug!$AB$4:$AB$9)+SUMIF(Sep!$Z$4:$Z$9,A39,Sep!$AB$4:$AB$9)+SUMIF(Okt!$Z$4:$Z$9,A39,Okt!$AB$4:$AB$9)+SUMIF(Nov!$Z$4:$Z$9,A39,Nov!$AB$4:$AB$9)+SUMIF(Dec!$Z$4:$Z$9,A39,Dec!$AB$4:$AB$9)</f>
        <v>0</v>
      </c>
      <c r="F39" s="247" t="str">
        <f t="shared" si="6"/>
        <v/>
      </c>
      <c r="G39" s="238">
        <f t="shared" si="5"/>
        <v>0</v>
      </c>
      <c r="H39" s="273">
        <f t="shared" si="7"/>
        <v>40.000000000000085</v>
      </c>
      <c r="I39" s="277"/>
      <c r="J39" s="45"/>
      <c r="K39" s="161"/>
      <c r="L39" s="161"/>
      <c r="M39" s="22"/>
      <c r="N39" s="22"/>
      <c r="P39" s="23"/>
      <c r="Q39" s="23"/>
      <c r="R39" s="23"/>
      <c r="S39" s="23"/>
    </row>
    <row r="40" spans="1:19" x14ac:dyDescent="0.25">
      <c r="A40" s="160">
        <v>18</v>
      </c>
      <c r="B40" s="187">
        <v>1.6666666666666701</v>
      </c>
      <c r="C40" s="183"/>
      <c r="D40" s="182">
        <v>1</v>
      </c>
      <c r="E40" s="248">
        <f>SUMIF(Jan!$Z$4:$Z$9,A40,Jan!$AB$4:$AB$9)+SUMIF(Feb!$Z$4:$Z$9,A40,Feb!$AB$4:$AB$9)+SUMIF(Maa!$Z$4:$Z$9,A40,Maa!$AB$4:$AB$9)+SUMIF(Apr!$Z$4:$Z$9,A40,Apr!$AB$4:$AB$9)+SUMIF(Mei!$Z$4:$Z$9,A40,Mei!$AB$4:$AB$9)+SUMIF(Jun!$Z$4:$Z$9,A40,Jun!$AB$4:$AB$9)+SUMIF(Jul!$Z$4:$Z$9,A40,Jul!$AB$4:$AB$9)+SUMIF(Aug!$Z$4:$Z$9,A40,Aug!$AB$4:$AB$9)+SUMIF(Sep!$Z$4:$Z$9,A40,Sep!$AB$4:$AB$9)+SUMIF(Okt!$Z$4:$Z$9,A40,Okt!$AB$4:$AB$9)+SUMIF(Nov!$Z$4:$Z$9,A40,Nov!$AB$4:$AB$9)+SUMIF(Dec!$Z$4:$Z$9,A40,Dec!$AB$4:$AB$9)</f>
        <v>0</v>
      </c>
      <c r="F40" s="247" t="str">
        <f t="shared" si="6"/>
        <v/>
      </c>
      <c r="G40" s="238">
        <f t="shared" si="5"/>
        <v>0</v>
      </c>
      <c r="H40" s="272">
        <f t="shared" si="7"/>
        <v>40.000000000000085</v>
      </c>
      <c r="I40" s="277"/>
      <c r="J40" s="45"/>
      <c r="K40" s="161"/>
      <c r="L40" s="161"/>
      <c r="M40" s="22"/>
      <c r="N40" s="22"/>
      <c r="P40" s="23"/>
      <c r="Q40" s="23"/>
      <c r="R40" s="23"/>
      <c r="S40" s="23"/>
    </row>
    <row r="41" spans="1:19" x14ac:dyDescent="0.25">
      <c r="A41" s="160">
        <v>19</v>
      </c>
      <c r="B41" s="186">
        <v>1.6666666666666701</v>
      </c>
      <c r="C41" s="183"/>
      <c r="D41" s="182">
        <v>1</v>
      </c>
      <c r="E41" s="248">
        <f>SUMIF(Jan!$Z$4:$Z$9,A41,Jan!$AB$4:$AB$9)+SUMIF(Feb!$Z$4:$Z$9,A41,Feb!$AB$4:$AB$9)+SUMIF(Maa!$Z$4:$Z$9,A41,Maa!$AB$4:$AB$9)+SUMIF(Apr!$Z$4:$Z$9,A41,Apr!$AB$4:$AB$9)+SUMIF(Mei!$Z$4:$Z$9,A41,Mei!$AB$4:$AB$9)+SUMIF(Jun!$Z$4:$Z$9,A41,Jun!$AB$4:$AB$9)+SUMIF(Jul!$Z$4:$Z$9,A41,Jul!$AB$4:$AB$9)+SUMIF(Aug!$Z$4:$Z$9,A41,Aug!$AB$4:$AB$9)+SUMIF(Sep!$Z$4:$Z$9,A41,Sep!$AB$4:$AB$9)+SUMIF(Okt!$Z$4:$Z$9,A41,Okt!$AB$4:$AB$9)+SUMIF(Nov!$Z$4:$Z$9,A41,Nov!$AB$4:$AB$9)+SUMIF(Dec!$Z$4:$Z$9,A41,Dec!$AB$4:$AB$9)</f>
        <v>0</v>
      </c>
      <c r="F41" s="247" t="str">
        <f t="shared" si="6"/>
        <v/>
      </c>
      <c r="G41" s="238">
        <f t="shared" si="5"/>
        <v>0</v>
      </c>
      <c r="H41" s="273">
        <f t="shared" si="7"/>
        <v>40.000000000000085</v>
      </c>
      <c r="I41" s="277"/>
      <c r="J41" s="45"/>
      <c r="K41" s="161"/>
      <c r="L41" s="161"/>
      <c r="M41" s="22"/>
      <c r="N41" s="22"/>
      <c r="P41" s="23"/>
      <c r="Q41" s="23"/>
      <c r="R41" s="23"/>
      <c r="S41" s="23"/>
    </row>
    <row r="42" spans="1:19" x14ac:dyDescent="0.25">
      <c r="A42" s="160">
        <v>20</v>
      </c>
      <c r="B42" s="187">
        <v>1.6666666666666701</v>
      </c>
      <c r="C42" s="183"/>
      <c r="D42" s="182">
        <v>1</v>
      </c>
      <c r="E42" s="248">
        <f>SUMIF(Jan!$Z$4:$Z$9,A42,Jan!$AB$4:$AB$9)+SUMIF(Feb!$Z$4:$Z$9,A42,Feb!$AB$4:$AB$9)+SUMIF(Maa!$Z$4:$Z$9,A42,Maa!$AB$4:$AB$9)+SUMIF(Apr!$Z$4:$Z$9,A42,Apr!$AB$4:$AB$9)+SUMIF(Mei!$Z$4:$Z$9,A42,Mei!$AB$4:$AB$9)+SUMIF(Jun!$Z$4:$Z$9,A42,Jun!$AB$4:$AB$9)+SUMIF(Jul!$Z$4:$Z$9,A42,Jul!$AB$4:$AB$9)+SUMIF(Aug!$Z$4:$Z$9,A42,Aug!$AB$4:$AB$9)+SUMIF(Sep!$Z$4:$Z$9,A42,Sep!$AB$4:$AB$9)+SUMIF(Okt!$Z$4:$Z$9,A42,Okt!$AB$4:$AB$9)+SUMIF(Nov!$Z$4:$Z$9,A42,Nov!$AB$4:$AB$9)+SUMIF(Dec!$Z$4:$Z$9,A42,Dec!$AB$4:$AB$9)</f>
        <v>0</v>
      </c>
      <c r="F42" s="247" t="str">
        <f t="shared" si="6"/>
        <v/>
      </c>
      <c r="G42" s="238">
        <f t="shared" si="5"/>
        <v>0</v>
      </c>
      <c r="H42" s="272">
        <f t="shared" si="7"/>
        <v>40.000000000000085</v>
      </c>
      <c r="I42" s="277"/>
      <c r="J42" s="45"/>
      <c r="K42" s="161"/>
      <c r="L42" s="161"/>
      <c r="M42" s="22"/>
      <c r="N42" s="22"/>
      <c r="P42" s="23"/>
      <c r="Q42" s="23"/>
      <c r="R42" s="23"/>
      <c r="S42" s="23"/>
    </row>
    <row r="43" spans="1:19" x14ac:dyDescent="0.25">
      <c r="A43" s="160">
        <v>21</v>
      </c>
      <c r="B43" s="186">
        <v>1.6666666666666701</v>
      </c>
      <c r="C43" s="183"/>
      <c r="D43" s="182">
        <v>1</v>
      </c>
      <c r="E43" s="248">
        <f>SUMIF(Jan!$Z$4:$Z$9,A43,Jan!$AB$4:$AB$9)+SUMIF(Feb!$Z$4:$Z$9,A43,Feb!$AB$4:$AB$9)+SUMIF(Maa!$Z$4:$Z$9,A43,Maa!$AB$4:$AB$9)+SUMIF(Apr!$Z$4:$Z$9,A43,Apr!$AB$4:$AB$9)+SUMIF(Mei!$Z$4:$Z$9,A43,Mei!$AB$4:$AB$9)+SUMIF(Jun!$Z$4:$Z$9,A43,Jun!$AB$4:$AB$9)+SUMIF(Jul!$Z$4:$Z$9,A43,Jul!$AB$4:$AB$9)+SUMIF(Aug!$Z$4:$Z$9,A43,Aug!$AB$4:$AB$9)+SUMIF(Sep!$Z$4:$Z$9,A43,Sep!$AB$4:$AB$9)+SUMIF(Okt!$Z$4:$Z$9,A43,Okt!$AB$4:$AB$9)+SUMIF(Nov!$Z$4:$Z$9,A43,Nov!$AB$4:$AB$9)+SUMIF(Dec!$Z$4:$Z$9,A43,Dec!$AB$4:$AB$9)</f>
        <v>0</v>
      </c>
      <c r="F43" s="247" t="str">
        <f t="shared" si="6"/>
        <v/>
      </c>
      <c r="G43" s="238">
        <f t="shared" si="5"/>
        <v>0</v>
      </c>
      <c r="H43" s="273">
        <f t="shared" si="7"/>
        <v>40.000000000000085</v>
      </c>
      <c r="I43" s="277"/>
      <c r="J43" s="45"/>
      <c r="K43" s="161"/>
      <c r="L43" s="161"/>
      <c r="M43" s="22"/>
      <c r="N43" s="22"/>
      <c r="P43" s="23"/>
      <c r="Q43" s="23"/>
      <c r="R43" s="23"/>
      <c r="S43" s="23"/>
    </row>
    <row r="44" spans="1:19" x14ac:dyDescent="0.25">
      <c r="A44" s="160">
        <v>22</v>
      </c>
      <c r="B44" s="187">
        <v>1.6666666666666701</v>
      </c>
      <c r="C44" s="183"/>
      <c r="D44" s="182">
        <v>1</v>
      </c>
      <c r="E44" s="248">
        <f>SUMIF(Jan!$Z$4:$Z$9,A44,Jan!$AB$4:$AB$9)+SUMIF(Feb!$Z$4:$Z$9,A44,Feb!$AB$4:$AB$9)+SUMIF(Maa!$Z$4:$Z$9,A44,Maa!$AB$4:$AB$9)+SUMIF(Apr!$Z$4:$Z$9,A44,Apr!$AB$4:$AB$9)+SUMIF(Mei!$Z$4:$Z$9,A44,Mei!$AB$4:$AB$9)+SUMIF(Jun!$Z$4:$Z$9,A44,Jun!$AB$4:$AB$9)+SUMIF(Jul!$Z$4:$Z$9,A44,Jul!$AB$4:$AB$9)+SUMIF(Aug!$Z$4:$Z$9,A44,Aug!$AB$4:$AB$9)+SUMIF(Sep!$Z$4:$Z$9,A44,Sep!$AB$4:$AB$9)+SUMIF(Okt!$Z$4:$Z$9,A44,Okt!$AB$4:$AB$9)+SUMIF(Nov!$Z$4:$Z$9,A44,Nov!$AB$4:$AB$9)+SUMIF(Dec!$Z$4:$Z$9,A44,Dec!$AB$4:$AB$9)</f>
        <v>0</v>
      </c>
      <c r="F44" s="247" t="str">
        <f t="shared" si="6"/>
        <v/>
      </c>
      <c r="G44" s="238">
        <f t="shared" si="5"/>
        <v>0</v>
      </c>
      <c r="H44" s="272">
        <f t="shared" si="7"/>
        <v>40.000000000000085</v>
      </c>
      <c r="I44" s="277"/>
      <c r="J44" s="45"/>
      <c r="K44" s="161"/>
      <c r="L44" s="161"/>
      <c r="M44" s="22"/>
      <c r="N44" s="22"/>
      <c r="P44" s="23"/>
      <c r="Q44" s="23"/>
      <c r="R44" s="23"/>
      <c r="S44" s="23"/>
    </row>
    <row r="45" spans="1:19" x14ac:dyDescent="0.25">
      <c r="A45" s="160">
        <v>23</v>
      </c>
      <c r="B45" s="186">
        <v>1.6666666666666701</v>
      </c>
      <c r="C45" s="183"/>
      <c r="D45" s="182">
        <v>1</v>
      </c>
      <c r="E45" s="248">
        <f>SUMIF(Jan!$Z$4:$Z$9,A45,Jan!$AB$4:$AB$9)+SUMIF(Feb!$Z$4:$Z$9,A45,Feb!$AB$4:$AB$9)+SUMIF(Maa!$Z$4:$Z$9,A45,Maa!$AB$4:$AB$9)+SUMIF(Apr!$Z$4:$Z$9,A45,Apr!$AB$4:$AB$9)+SUMIF(Mei!$Z$4:$Z$9,A45,Mei!$AB$4:$AB$9)+SUMIF(Jun!$Z$4:$Z$9,A45,Jun!$AB$4:$AB$9)+SUMIF(Jul!$Z$4:$Z$9,A45,Jul!$AB$4:$AB$9)+SUMIF(Aug!$Z$4:$Z$9,A45,Aug!$AB$4:$AB$9)+SUMIF(Sep!$Z$4:$Z$9,A45,Sep!$AB$4:$AB$9)+SUMIF(Okt!$Z$4:$Z$9,A45,Okt!$AB$4:$AB$9)+SUMIF(Nov!$Z$4:$Z$9,A45,Nov!$AB$4:$AB$9)+SUMIF(Dec!$Z$4:$Z$9,A45,Dec!$AB$4:$AB$9)</f>
        <v>0</v>
      </c>
      <c r="F45" s="247" t="str">
        <f t="shared" si="6"/>
        <v/>
      </c>
      <c r="G45" s="238">
        <f t="shared" si="5"/>
        <v>0</v>
      </c>
      <c r="H45" s="273">
        <f t="shared" si="7"/>
        <v>40.000000000000085</v>
      </c>
      <c r="I45" s="277"/>
      <c r="J45" s="45"/>
      <c r="K45" s="161"/>
      <c r="L45" s="161"/>
      <c r="M45" s="22"/>
      <c r="N45" s="22"/>
      <c r="P45" s="23"/>
      <c r="Q45" s="23"/>
      <c r="R45" s="23"/>
      <c r="S45" s="23"/>
    </row>
    <row r="46" spans="1:19" x14ac:dyDescent="0.25">
      <c r="A46" s="160">
        <v>24</v>
      </c>
      <c r="B46" s="187">
        <v>1.6666666666666701</v>
      </c>
      <c r="C46" s="183"/>
      <c r="D46" s="182">
        <v>1</v>
      </c>
      <c r="E46" s="248">
        <f>SUMIF(Jan!$Z$4:$Z$9,A46,Jan!$AB$4:$AB$9)+SUMIF(Feb!$Z$4:$Z$9,A46,Feb!$AB$4:$AB$9)+SUMIF(Maa!$Z$4:$Z$9,A46,Maa!$AB$4:$AB$9)+SUMIF(Apr!$Z$4:$Z$9,A46,Apr!$AB$4:$AB$9)+SUMIF(Mei!$Z$4:$Z$9,A46,Mei!$AB$4:$AB$9)+SUMIF(Jun!$Z$4:$Z$9,A46,Jun!$AB$4:$AB$9)+SUMIF(Jul!$Z$4:$Z$9,A46,Jul!$AB$4:$AB$9)+SUMIF(Aug!$Z$4:$Z$9,A46,Aug!$AB$4:$AB$9)+SUMIF(Sep!$Z$4:$Z$9,A46,Sep!$AB$4:$AB$9)+SUMIF(Okt!$Z$4:$Z$9,A46,Okt!$AB$4:$AB$9)+SUMIF(Nov!$Z$4:$Z$9,A46,Nov!$AB$4:$AB$9)+SUMIF(Dec!$Z$4:$Z$9,A46,Dec!$AB$4:$AB$9)</f>
        <v>0</v>
      </c>
      <c r="F46" s="247" t="str">
        <f t="shared" si="6"/>
        <v/>
      </c>
      <c r="G46" s="238">
        <f t="shared" si="5"/>
        <v>0</v>
      </c>
      <c r="H46" s="272">
        <f t="shared" si="7"/>
        <v>40.000000000000085</v>
      </c>
      <c r="I46" s="277"/>
      <c r="J46" s="45"/>
      <c r="K46" s="161"/>
      <c r="L46" s="161"/>
      <c r="M46" s="22"/>
      <c r="N46" s="22"/>
      <c r="P46" s="23"/>
      <c r="Q46" s="23"/>
      <c r="R46" s="23"/>
      <c r="S46" s="23"/>
    </row>
    <row r="47" spans="1:19" x14ac:dyDescent="0.25">
      <c r="A47" s="160">
        <v>25</v>
      </c>
      <c r="B47" s="186">
        <v>1.6666666666666701</v>
      </c>
      <c r="C47" s="183"/>
      <c r="D47" s="182">
        <v>1</v>
      </c>
      <c r="E47" s="248">
        <f>SUMIF(Jan!$Z$4:$Z$9,A47,Jan!$AB$4:$AB$9)+SUMIF(Feb!$Z$4:$Z$9,A47,Feb!$AB$4:$AB$9)+SUMIF(Maa!$Z$4:$Z$9,A47,Maa!$AB$4:$AB$9)+SUMIF(Apr!$Z$4:$Z$9,A47,Apr!$AB$4:$AB$9)+SUMIF(Mei!$Z$4:$Z$9,A47,Mei!$AB$4:$AB$9)+SUMIF(Jun!$Z$4:$Z$9,A47,Jun!$AB$4:$AB$9)+SUMIF(Jul!$Z$4:$Z$9,A47,Jul!$AB$4:$AB$9)+SUMIF(Aug!$Z$4:$Z$9,A47,Aug!$AB$4:$AB$9)+SUMIF(Sep!$Z$4:$Z$9,A47,Sep!$AB$4:$AB$9)+SUMIF(Okt!$Z$4:$Z$9,A47,Okt!$AB$4:$AB$9)+SUMIF(Nov!$Z$4:$Z$9,A47,Nov!$AB$4:$AB$9)+SUMIF(Dec!$Z$4:$Z$9,A47,Dec!$AB$4:$AB$9)</f>
        <v>0</v>
      </c>
      <c r="F47" s="247" t="str">
        <f t="shared" si="6"/>
        <v/>
      </c>
      <c r="G47" s="238">
        <f t="shared" si="5"/>
        <v>0</v>
      </c>
      <c r="H47" s="273">
        <f t="shared" si="7"/>
        <v>40.000000000000085</v>
      </c>
      <c r="I47" s="277"/>
      <c r="J47" s="45"/>
      <c r="K47" s="161"/>
      <c r="L47" s="161"/>
      <c r="M47" s="22"/>
      <c r="N47" s="22"/>
      <c r="P47" s="23"/>
      <c r="Q47" s="23"/>
      <c r="R47" s="23"/>
      <c r="S47" s="23"/>
    </row>
    <row r="48" spans="1:19" x14ac:dyDescent="0.25">
      <c r="A48" s="160">
        <v>26</v>
      </c>
      <c r="B48" s="187">
        <v>1.6666666666666701</v>
      </c>
      <c r="C48" s="183"/>
      <c r="D48" s="182">
        <v>1</v>
      </c>
      <c r="E48" s="248">
        <f>SUMIF(Jan!$Z$4:$Z$9,A48,Jan!$AB$4:$AB$9)+SUMIF(Feb!$Z$4:$Z$9,A48,Feb!$AB$4:$AB$9)+SUMIF(Maa!$Z$4:$Z$9,A48,Maa!$AB$4:$AB$9)+SUMIF(Apr!$Z$4:$Z$9,A48,Apr!$AB$4:$AB$9)+SUMIF(Mei!$Z$4:$Z$9,A48,Mei!$AB$4:$AB$9)+SUMIF(Jun!$Z$4:$Z$9,A48,Jun!$AB$4:$AB$9)+SUMIF(Jul!$Z$4:$Z$9,A48,Jul!$AB$4:$AB$9)+SUMIF(Aug!$Z$4:$Z$9,A48,Aug!$AB$4:$AB$9)+SUMIF(Sep!$Z$4:$Z$9,A48,Sep!$AB$4:$AB$9)+SUMIF(Okt!$Z$4:$Z$9,A48,Okt!$AB$4:$AB$9)+SUMIF(Nov!$Z$4:$Z$9,A48,Nov!$AB$4:$AB$9)+SUMIF(Dec!$Z$4:$Z$9,A48,Dec!$AB$4:$AB$9)</f>
        <v>0</v>
      </c>
      <c r="F48" s="247" t="str">
        <f t="shared" si="6"/>
        <v/>
      </c>
      <c r="G48" s="238">
        <f t="shared" si="5"/>
        <v>0</v>
      </c>
      <c r="H48" s="272">
        <f t="shared" si="7"/>
        <v>40.000000000000085</v>
      </c>
      <c r="I48" s="277"/>
      <c r="J48" s="45"/>
      <c r="K48" s="161"/>
      <c r="L48" s="161"/>
      <c r="M48" s="22"/>
      <c r="N48" s="22"/>
      <c r="P48" s="23"/>
      <c r="Q48" s="23"/>
      <c r="R48" s="23"/>
      <c r="S48" s="23"/>
    </row>
    <row r="49" spans="1:19" x14ac:dyDescent="0.25">
      <c r="A49" s="160">
        <v>27</v>
      </c>
      <c r="B49" s="186">
        <v>1.6666666666666701</v>
      </c>
      <c r="C49" s="183"/>
      <c r="D49" s="182">
        <v>1</v>
      </c>
      <c r="E49" s="248">
        <f>SUMIF(Jan!$Z$4:$Z$9,A49,Jan!$AB$4:$AB$9)+SUMIF(Feb!$Z$4:$Z$9,A49,Feb!$AB$4:$AB$9)+SUMIF(Maa!$Z$4:$Z$9,A49,Maa!$AB$4:$AB$9)+SUMIF(Apr!$Z$4:$Z$9,A49,Apr!$AB$4:$AB$9)+SUMIF(Mei!$Z$4:$Z$9,A49,Mei!$AB$4:$AB$9)+SUMIF(Jun!$Z$4:$Z$9,A49,Jun!$AB$4:$AB$9)+SUMIF(Jul!$Z$4:$Z$9,A49,Jul!$AB$4:$AB$9)+SUMIF(Aug!$Z$4:$Z$9,A49,Aug!$AB$4:$AB$9)+SUMIF(Sep!$Z$4:$Z$9,A49,Sep!$AB$4:$AB$9)+SUMIF(Okt!$Z$4:$Z$9,A49,Okt!$AB$4:$AB$9)+SUMIF(Nov!$Z$4:$Z$9,A49,Nov!$AB$4:$AB$9)+SUMIF(Dec!$Z$4:$Z$9,A49,Dec!$AB$4:$AB$9)</f>
        <v>0</v>
      </c>
      <c r="F49" s="247" t="str">
        <f t="shared" si="6"/>
        <v/>
      </c>
      <c r="G49" s="238">
        <f t="shared" si="5"/>
        <v>0</v>
      </c>
      <c r="H49" s="273">
        <f t="shared" si="7"/>
        <v>40.000000000000085</v>
      </c>
      <c r="I49" s="277"/>
      <c r="J49" s="45"/>
      <c r="K49" s="161"/>
      <c r="L49" s="161"/>
      <c r="M49" s="22"/>
      <c r="N49" s="22"/>
      <c r="P49" s="23"/>
      <c r="Q49" s="23"/>
      <c r="R49" s="23"/>
      <c r="S49" s="23"/>
    </row>
    <row r="50" spans="1:19" x14ac:dyDescent="0.25">
      <c r="A50" s="160">
        <v>28</v>
      </c>
      <c r="B50" s="187">
        <v>1.6666666666666701</v>
      </c>
      <c r="C50" s="183"/>
      <c r="D50" s="182">
        <v>1</v>
      </c>
      <c r="E50" s="248">
        <f>SUMIF(Jan!$Z$4:$Z$9,A50,Jan!$AB$4:$AB$9)+SUMIF(Feb!$Z$4:$Z$9,A50,Feb!$AB$4:$AB$9)+SUMIF(Maa!$Z$4:$Z$9,A50,Maa!$AB$4:$AB$9)+SUMIF(Apr!$Z$4:$Z$9,A50,Apr!$AB$4:$AB$9)+SUMIF(Mei!$Z$4:$Z$9,A50,Mei!$AB$4:$AB$9)+SUMIF(Jun!$Z$4:$Z$9,A50,Jun!$AB$4:$AB$9)+SUMIF(Jul!$Z$4:$Z$9,A50,Jul!$AB$4:$AB$9)+SUMIF(Aug!$Z$4:$Z$9,A50,Aug!$AB$4:$AB$9)+SUMIF(Sep!$Z$4:$Z$9,A50,Sep!$AB$4:$AB$9)+SUMIF(Okt!$Z$4:$Z$9,A50,Okt!$AB$4:$AB$9)+SUMIF(Nov!$Z$4:$Z$9,A50,Nov!$AB$4:$AB$9)+SUMIF(Dec!$Z$4:$Z$9,A50,Dec!$AB$4:$AB$9)</f>
        <v>0</v>
      </c>
      <c r="F50" s="247" t="str">
        <f t="shared" si="6"/>
        <v/>
      </c>
      <c r="G50" s="238">
        <f t="shared" si="5"/>
        <v>0</v>
      </c>
      <c r="H50" s="272">
        <f t="shared" si="7"/>
        <v>40.000000000000085</v>
      </c>
      <c r="I50" s="277"/>
      <c r="J50" s="45"/>
      <c r="K50" s="161"/>
      <c r="L50" s="161"/>
      <c r="M50" s="22"/>
      <c r="N50" s="22"/>
      <c r="P50" s="23"/>
      <c r="Q50" s="23"/>
      <c r="R50" s="23"/>
      <c r="S50" s="23"/>
    </row>
    <row r="51" spans="1:19" x14ac:dyDescent="0.25">
      <c r="A51" s="160">
        <v>29</v>
      </c>
      <c r="B51" s="186">
        <v>1.6666666666666701</v>
      </c>
      <c r="C51" s="183"/>
      <c r="D51" s="182">
        <v>1</v>
      </c>
      <c r="E51" s="248">
        <f>SUMIF(Jan!$Z$4:$Z$9,A51,Jan!$AB$4:$AB$9)+SUMIF(Feb!$Z$4:$Z$9,A51,Feb!$AB$4:$AB$9)+SUMIF(Maa!$Z$4:$Z$9,A51,Maa!$AB$4:$AB$9)+SUMIF(Apr!$Z$4:$Z$9,A51,Apr!$AB$4:$AB$9)+SUMIF(Mei!$Z$4:$Z$9,A51,Mei!$AB$4:$AB$9)+SUMIF(Jun!$Z$4:$Z$9,A51,Jun!$AB$4:$AB$9)+SUMIF(Jul!$Z$4:$Z$9,A51,Jul!$AB$4:$AB$9)+SUMIF(Aug!$Z$4:$Z$9,A51,Aug!$AB$4:$AB$9)+SUMIF(Sep!$Z$4:$Z$9,A51,Sep!$AB$4:$AB$9)+SUMIF(Okt!$Z$4:$Z$9,A51,Okt!$AB$4:$AB$9)+SUMIF(Nov!$Z$4:$Z$9,A51,Nov!$AB$4:$AB$9)+SUMIF(Dec!$Z$4:$Z$9,A51,Dec!$AB$4:$AB$9)</f>
        <v>0</v>
      </c>
      <c r="F51" s="247" t="str">
        <f t="shared" si="6"/>
        <v/>
      </c>
      <c r="G51" s="238">
        <f t="shared" si="5"/>
        <v>0</v>
      </c>
      <c r="H51" s="273">
        <f t="shared" si="7"/>
        <v>40.000000000000085</v>
      </c>
      <c r="I51" s="277"/>
      <c r="J51" s="45"/>
      <c r="K51" s="161"/>
      <c r="L51" s="161"/>
      <c r="M51" s="22"/>
      <c r="N51" s="22"/>
      <c r="P51" s="23"/>
      <c r="Q51" s="23"/>
      <c r="R51" s="23"/>
      <c r="S51" s="23"/>
    </row>
    <row r="52" spans="1:19" x14ac:dyDescent="0.25">
      <c r="A52" s="160">
        <v>30</v>
      </c>
      <c r="B52" s="187">
        <v>1.6666666666666701</v>
      </c>
      <c r="C52" s="183"/>
      <c r="D52" s="182">
        <v>1</v>
      </c>
      <c r="E52" s="248">
        <f>SUMIF(Jan!$Z$4:$Z$9,A52,Jan!$AB$4:$AB$9)+SUMIF(Feb!$Z$4:$Z$9,A52,Feb!$AB$4:$AB$9)+SUMIF(Maa!$Z$4:$Z$9,A52,Maa!$AB$4:$AB$9)+SUMIF(Apr!$Z$4:$Z$9,A52,Apr!$AB$4:$AB$9)+SUMIF(Mei!$Z$4:$Z$9,A52,Mei!$AB$4:$AB$9)+SUMIF(Jun!$Z$4:$Z$9,A52,Jun!$AB$4:$AB$9)+SUMIF(Jul!$Z$4:$Z$9,A52,Jul!$AB$4:$AB$9)+SUMIF(Aug!$Z$4:$Z$9,A52,Aug!$AB$4:$AB$9)+SUMIF(Sep!$Z$4:$Z$9,A52,Sep!$AB$4:$AB$9)+SUMIF(Okt!$Z$4:$Z$9,A52,Okt!$AB$4:$AB$9)+SUMIF(Nov!$Z$4:$Z$9,A52,Nov!$AB$4:$AB$9)+SUMIF(Dec!$Z$4:$Z$9,A52,Dec!$AB$4:$AB$9)</f>
        <v>0</v>
      </c>
      <c r="F52" s="247" t="str">
        <f t="shared" si="6"/>
        <v/>
      </c>
      <c r="G52" s="238">
        <f t="shared" si="5"/>
        <v>0</v>
      </c>
      <c r="H52" s="272">
        <f t="shared" si="7"/>
        <v>40.000000000000085</v>
      </c>
      <c r="I52" s="277"/>
      <c r="J52" s="45"/>
      <c r="K52" s="161"/>
      <c r="L52" s="161"/>
      <c r="M52" s="22"/>
      <c r="N52" s="22"/>
      <c r="P52" s="23"/>
      <c r="Q52" s="23"/>
      <c r="R52" s="23"/>
      <c r="S52" s="23"/>
    </row>
    <row r="53" spans="1:19" x14ac:dyDescent="0.25">
      <c r="A53" s="160">
        <v>31</v>
      </c>
      <c r="B53" s="186">
        <v>1.6666666666666701</v>
      </c>
      <c r="C53" s="183"/>
      <c r="D53" s="182">
        <v>1</v>
      </c>
      <c r="E53" s="248">
        <f>SUMIF(Jan!$Z$4:$Z$9,A53,Jan!$AB$4:$AB$9)+SUMIF(Feb!$Z$4:$Z$9,A53,Feb!$AB$4:$AB$9)+SUMIF(Maa!$Z$4:$Z$9,A53,Maa!$AB$4:$AB$9)+SUMIF(Apr!$Z$4:$Z$9,A53,Apr!$AB$4:$AB$9)+SUMIF(Mei!$Z$4:$Z$9,A53,Mei!$AB$4:$AB$9)+SUMIF(Jun!$Z$4:$Z$9,A53,Jun!$AB$4:$AB$9)+SUMIF(Jul!$Z$4:$Z$9,A53,Jul!$AB$4:$AB$9)+SUMIF(Aug!$Z$4:$Z$9,A53,Aug!$AB$4:$AB$9)+SUMIF(Sep!$Z$4:$Z$9,A53,Sep!$AB$4:$AB$9)+SUMIF(Okt!$Z$4:$Z$9,A53,Okt!$AB$4:$AB$9)+SUMIF(Nov!$Z$4:$Z$9,A53,Nov!$AB$4:$AB$9)+SUMIF(Dec!$Z$4:$Z$9,A53,Dec!$AB$4:$AB$9)</f>
        <v>0</v>
      </c>
      <c r="F53" s="247" t="str">
        <f t="shared" si="6"/>
        <v/>
      </c>
      <c r="G53" s="238">
        <f t="shared" si="5"/>
        <v>0</v>
      </c>
      <c r="H53" s="273">
        <f t="shared" si="7"/>
        <v>40.000000000000085</v>
      </c>
      <c r="I53" s="277"/>
      <c r="J53" s="45"/>
      <c r="K53" s="161"/>
      <c r="L53" s="161"/>
      <c r="M53" s="22"/>
      <c r="N53" s="22"/>
      <c r="P53" s="23"/>
      <c r="Q53" s="23"/>
      <c r="R53" s="23"/>
      <c r="S53" s="23"/>
    </row>
    <row r="54" spans="1:19" x14ac:dyDescent="0.25">
      <c r="A54" s="160">
        <v>32</v>
      </c>
      <c r="B54" s="187">
        <v>1.6666666666666701</v>
      </c>
      <c r="C54" s="183"/>
      <c r="D54" s="182">
        <v>1</v>
      </c>
      <c r="E54" s="248">
        <f>SUMIF(Jan!$Z$4:$Z$9,A54,Jan!$AB$4:$AB$9)+SUMIF(Feb!$Z$4:$Z$9,A54,Feb!$AB$4:$AB$9)+SUMIF(Maa!$Z$4:$Z$9,A54,Maa!$AB$4:$AB$9)+SUMIF(Apr!$Z$4:$Z$9,A54,Apr!$AB$4:$AB$9)+SUMIF(Mei!$Z$4:$Z$9,A54,Mei!$AB$4:$AB$9)+SUMIF(Jun!$Z$4:$Z$9,A54,Jun!$AB$4:$AB$9)+SUMIF(Jul!$Z$4:$Z$9,A54,Jul!$AB$4:$AB$9)+SUMIF(Aug!$Z$4:$Z$9,A54,Aug!$AB$4:$AB$9)+SUMIF(Sep!$Z$4:$Z$9,A54,Sep!$AB$4:$AB$9)+SUMIF(Okt!$Z$4:$Z$9,A54,Okt!$AB$4:$AB$9)+SUMIF(Nov!$Z$4:$Z$9,A54,Nov!$AB$4:$AB$9)+SUMIF(Dec!$Z$4:$Z$9,A54,Dec!$AB$4:$AB$9)</f>
        <v>0</v>
      </c>
      <c r="F54" s="247" t="str">
        <f t="shared" si="6"/>
        <v/>
      </c>
      <c r="G54" s="238">
        <f t="shared" si="5"/>
        <v>0</v>
      </c>
      <c r="H54" s="272">
        <f t="shared" si="7"/>
        <v>40.000000000000085</v>
      </c>
      <c r="I54" s="277"/>
      <c r="J54" s="45"/>
      <c r="K54" s="161"/>
      <c r="L54" s="161"/>
      <c r="M54" s="22"/>
      <c r="N54" s="22"/>
      <c r="P54" s="23"/>
      <c r="Q54" s="23"/>
      <c r="R54" s="23"/>
      <c r="S54" s="23"/>
    </row>
    <row r="55" spans="1:19" x14ac:dyDescent="0.25">
      <c r="A55" s="160">
        <v>33</v>
      </c>
      <c r="B55" s="186">
        <v>1.6666666666666701</v>
      </c>
      <c r="C55" s="183"/>
      <c r="D55" s="182">
        <v>1</v>
      </c>
      <c r="E55" s="248">
        <f>SUMIF(Jan!$Z$4:$Z$9,A55,Jan!$AB$4:$AB$9)+SUMIF(Feb!$Z$4:$Z$9,A55,Feb!$AB$4:$AB$9)+SUMIF(Maa!$Z$4:$Z$9,A55,Maa!$AB$4:$AB$9)+SUMIF(Apr!$Z$4:$Z$9,A55,Apr!$AB$4:$AB$9)+SUMIF(Mei!$Z$4:$Z$9,A55,Mei!$AB$4:$AB$9)+SUMIF(Jun!$Z$4:$Z$9,A55,Jun!$AB$4:$AB$9)+SUMIF(Jul!$Z$4:$Z$9,A55,Jul!$AB$4:$AB$9)+SUMIF(Aug!$Z$4:$Z$9,A55,Aug!$AB$4:$AB$9)+SUMIF(Sep!$Z$4:$Z$9,A55,Sep!$AB$4:$AB$9)+SUMIF(Okt!$Z$4:$Z$9,A55,Okt!$AB$4:$AB$9)+SUMIF(Nov!$Z$4:$Z$9,A55,Nov!$AB$4:$AB$9)+SUMIF(Dec!$Z$4:$Z$9,A55,Dec!$AB$4:$AB$9)</f>
        <v>0</v>
      </c>
      <c r="F55" s="247" t="str">
        <f t="shared" si="6"/>
        <v/>
      </c>
      <c r="G55" s="238">
        <f t="shared" si="5"/>
        <v>0</v>
      </c>
      <c r="H55" s="273">
        <f t="shared" si="7"/>
        <v>40.000000000000085</v>
      </c>
      <c r="I55" s="277"/>
      <c r="J55" s="45"/>
      <c r="K55" s="161"/>
      <c r="L55" s="161"/>
      <c r="M55" s="22"/>
      <c r="N55" s="22"/>
      <c r="P55" s="23"/>
      <c r="Q55" s="23"/>
      <c r="R55" s="23"/>
      <c r="S55" s="23"/>
    </row>
    <row r="56" spans="1:19" x14ac:dyDescent="0.25">
      <c r="A56" s="160">
        <v>34</v>
      </c>
      <c r="B56" s="187">
        <v>1.6666666666666701</v>
      </c>
      <c r="C56" s="183"/>
      <c r="D56" s="182">
        <v>1</v>
      </c>
      <c r="E56" s="248">
        <f>SUMIF(Jan!$Z$4:$Z$9,A56,Jan!$AB$4:$AB$9)+SUMIF(Feb!$Z$4:$Z$9,A56,Feb!$AB$4:$AB$9)+SUMIF(Maa!$Z$4:$Z$9,A56,Maa!$AB$4:$AB$9)+SUMIF(Apr!$Z$4:$Z$9,A56,Apr!$AB$4:$AB$9)+SUMIF(Mei!$Z$4:$Z$9,A56,Mei!$AB$4:$AB$9)+SUMIF(Jun!$Z$4:$Z$9,A56,Jun!$AB$4:$AB$9)+SUMIF(Jul!$Z$4:$Z$9,A56,Jul!$AB$4:$AB$9)+SUMIF(Aug!$Z$4:$Z$9,A56,Aug!$AB$4:$AB$9)+SUMIF(Sep!$Z$4:$Z$9,A56,Sep!$AB$4:$AB$9)+SUMIF(Okt!$Z$4:$Z$9,A56,Okt!$AB$4:$AB$9)+SUMIF(Nov!$Z$4:$Z$9,A56,Nov!$AB$4:$AB$9)+SUMIF(Dec!$Z$4:$Z$9,A56,Dec!$AB$4:$AB$9)</f>
        <v>0</v>
      </c>
      <c r="F56" s="247" t="str">
        <f t="shared" si="6"/>
        <v/>
      </c>
      <c r="G56" s="238">
        <f t="shared" si="5"/>
        <v>0</v>
      </c>
      <c r="H56" s="272">
        <f t="shared" si="7"/>
        <v>40.000000000000085</v>
      </c>
      <c r="I56" s="277"/>
      <c r="J56" s="45"/>
      <c r="K56" s="161"/>
      <c r="L56" s="161"/>
      <c r="M56" s="22"/>
      <c r="N56" s="22"/>
      <c r="P56" s="23"/>
      <c r="Q56" s="23"/>
      <c r="R56" s="23"/>
      <c r="S56" s="23"/>
    </row>
    <row r="57" spans="1:19" x14ac:dyDescent="0.25">
      <c r="A57" s="160">
        <v>35</v>
      </c>
      <c r="B57" s="186">
        <v>1.6666666666666701</v>
      </c>
      <c r="C57" s="183"/>
      <c r="D57" s="182">
        <v>1</v>
      </c>
      <c r="E57" s="248">
        <f>SUMIF(Jan!$Z$4:$Z$9,A57,Jan!$AB$4:$AB$9)+SUMIF(Feb!$Z$4:$Z$9,A57,Feb!$AB$4:$AB$9)+SUMIF(Maa!$Z$4:$Z$9,A57,Maa!$AB$4:$AB$9)+SUMIF(Apr!$Z$4:$Z$9,A57,Apr!$AB$4:$AB$9)+SUMIF(Mei!$Z$4:$Z$9,A57,Mei!$AB$4:$AB$9)+SUMIF(Jun!$Z$4:$Z$9,A57,Jun!$AB$4:$AB$9)+SUMIF(Jul!$Z$4:$Z$9,A57,Jul!$AB$4:$AB$9)+SUMIF(Aug!$Z$4:$Z$9,A57,Aug!$AB$4:$AB$9)+SUMIF(Sep!$Z$4:$Z$9,A57,Sep!$AB$4:$AB$9)+SUMIF(Okt!$Z$4:$Z$9,A57,Okt!$AB$4:$AB$9)+SUMIF(Nov!$Z$4:$Z$9,A57,Nov!$AB$4:$AB$9)+SUMIF(Dec!$Z$4:$Z$9,A57,Dec!$AB$4:$AB$9)</f>
        <v>0</v>
      </c>
      <c r="F57" s="247" t="str">
        <f t="shared" si="6"/>
        <v/>
      </c>
      <c r="G57" s="238">
        <f t="shared" si="5"/>
        <v>0</v>
      </c>
      <c r="H57" s="273">
        <f t="shared" si="7"/>
        <v>40.000000000000085</v>
      </c>
      <c r="I57" s="277"/>
      <c r="J57" s="45"/>
      <c r="K57" s="161"/>
      <c r="L57" s="161"/>
      <c r="M57" s="22"/>
      <c r="N57" s="22"/>
      <c r="P57" s="23"/>
      <c r="Q57" s="23"/>
      <c r="R57" s="23"/>
      <c r="S57" s="23"/>
    </row>
    <row r="58" spans="1:19" x14ac:dyDescent="0.25">
      <c r="A58" s="160">
        <v>36</v>
      </c>
      <c r="B58" s="187">
        <v>1.6666666666666701</v>
      </c>
      <c r="C58" s="183"/>
      <c r="D58" s="182">
        <v>1</v>
      </c>
      <c r="E58" s="248">
        <f>SUMIF(Jan!$Z$4:$Z$9,A58,Jan!$AB$4:$AB$9)+SUMIF(Feb!$Z$4:$Z$9,A58,Feb!$AB$4:$AB$9)+SUMIF(Maa!$Z$4:$Z$9,A58,Maa!$AB$4:$AB$9)+SUMIF(Apr!$Z$4:$Z$9,A58,Apr!$AB$4:$AB$9)+SUMIF(Mei!$Z$4:$Z$9,A58,Mei!$AB$4:$AB$9)+SUMIF(Jun!$Z$4:$Z$9,A58,Jun!$AB$4:$AB$9)+SUMIF(Jul!$Z$4:$Z$9,A58,Jul!$AB$4:$AB$9)+SUMIF(Aug!$Z$4:$Z$9,A58,Aug!$AB$4:$AB$9)+SUMIF(Sep!$Z$4:$Z$9,A58,Sep!$AB$4:$AB$9)+SUMIF(Okt!$Z$4:$Z$9,A58,Okt!$AB$4:$AB$9)+SUMIF(Nov!$Z$4:$Z$9,A58,Nov!$AB$4:$AB$9)+SUMIF(Dec!$Z$4:$Z$9,A58,Dec!$AB$4:$AB$9)</f>
        <v>0</v>
      </c>
      <c r="F58" s="247" t="str">
        <f t="shared" si="6"/>
        <v/>
      </c>
      <c r="G58" s="238">
        <f t="shared" si="5"/>
        <v>0</v>
      </c>
      <c r="H58" s="272">
        <f t="shared" si="7"/>
        <v>40.000000000000085</v>
      </c>
      <c r="I58" s="277"/>
      <c r="J58" s="45"/>
      <c r="K58" s="161"/>
      <c r="L58" s="161"/>
      <c r="M58" s="22"/>
      <c r="N58" s="22"/>
      <c r="P58" s="23"/>
      <c r="Q58" s="23"/>
      <c r="R58" s="23"/>
      <c r="S58" s="23"/>
    </row>
    <row r="59" spans="1:19" x14ac:dyDescent="0.25">
      <c r="A59" s="160">
        <v>37</v>
      </c>
      <c r="B59" s="186">
        <v>1.6666666666666701</v>
      </c>
      <c r="C59" s="183"/>
      <c r="D59" s="182">
        <v>1</v>
      </c>
      <c r="E59" s="248">
        <f>SUMIF(Jan!$Z$4:$Z$9,A59,Jan!$AB$4:$AB$9)+SUMIF(Feb!$Z$4:$Z$9,A59,Feb!$AB$4:$AB$9)+SUMIF(Maa!$Z$4:$Z$9,A59,Maa!$AB$4:$AB$9)+SUMIF(Apr!$Z$4:$Z$9,A59,Apr!$AB$4:$AB$9)+SUMIF(Mei!$Z$4:$Z$9,A59,Mei!$AB$4:$AB$9)+SUMIF(Jun!$Z$4:$Z$9,A59,Jun!$AB$4:$AB$9)+SUMIF(Jul!$Z$4:$Z$9,A59,Jul!$AB$4:$AB$9)+SUMIF(Aug!$Z$4:$Z$9,A59,Aug!$AB$4:$AB$9)+SUMIF(Sep!$Z$4:$Z$9,A59,Sep!$AB$4:$AB$9)+SUMIF(Okt!$Z$4:$Z$9,A59,Okt!$AB$4:$AB$9)+SUMIF(Nov!$Z$4:$Z$9,A59,Nov!$AB$4:$AB$9)+SUMIF(Dec!$Z$4:$Z$9,A59,Dec!$AB$4:$AB$9)</f>
        <v>0</v>
      </c>
      <c r="F59" s="247" t="str">
        <f t="shared" si="6"/>
        <v/>
      </c>
      <c r="G59" s="238">
        <f t="shared" si="5"/>
        <v>0</v>
      </c>
      <c r="H59" s="273">
        <f t="shared" si="7"/>
        <v>40.000000000000085</v>
      </c>
      <c r="I59" s="277"/>
      <c r="J59" s="45"/>
      <c r="K59" s="161"/>
      <c r="L59" s="161"/>
      <c r="M59" s="22"/>
      <c r="N59" s="22"/>
      <c r="P59" s="23"/>
      <c r="Q59" s="23"/>
      <c r="R59" s="23"/>
      <c r="S59" s="23"/>
    </row>
    <row r="60" spans="1:19" x14ac:dyDescent="0.25">
      <c r="A60" s="160">
        <v>38</v>
      </c>
      <c r="B60" s="187">
        <v>1.6666666666666701</v>
      </c>
      <c r="C60" s="183"/>
      <c r="D60" s="182">
        <v>1</v>
      </c>
      <c r="E60" s="248">
        <f>SUMIF(Jan!$Z$4:$Z$9,A60,Jan!$AB$4:$AB$9)+SUMIF(Feb!$Z$4:$Z$9,A60,Feb!$AB$4:$AB$9)+SUMIF(Maa!$Z$4:$Z$9,A60,Maa!$AB$4:$AB$9)+SUMIF(Apr!$Z$4:$Z$9,A60,Apr!$AB$4:$AB$9)+SUMIF(Mei!$Z$4:$Z$9,A60,Mei!$AB$4:$AB$9)+SUMIF(Jun!$Z$4:$Z$9,A60,Jun!$AB$4:$AB$9)+SUMIF(Jul!$Z$4:$Z$9,A60,Jul!$AB$4:$AB$9)+SUMIF(Aug!$Z$4:$Z$9,A60,Aug!$AB$4:$AB$9)+SUMIF(Sep!$Z$4:$Z$9,A60,Sep!$AB$4:$AB$9)+SUMIF(Okt!$Z$4:$Z$9,A60,Okt!$AB$4:$AB$9)+SUMIF(Nov!$Z$4:$Z$9,A60,Nov!$AB$4:$AB$9)+SUMIF(Dec!$Z$4:$Z$9,A60,Dec!$AB$4:$AB$9)</f>
        <v>0</v>
      </c>
      <c r="F60" s="247" t="str">
        <f t="shared" si="6"/>
        <v/>
      </c>
      <c r="G60" s="238">
        <f t="shared" si="5"/>
        <v>0</v>
      </c>
      <c r="H60" s="272">
        <f t="shared" si="7"/>
        <v>40.000000000000085</v>
      </c>
      <c r="I60" s="277"/>
      <c r="J60" s="45"/>
      <c r="K60" s="161"/>
      <c r="L60" s="161"/>
      <c r="M60" s="22"/>
      <c r="N60" s="22"/>
      <c r="P60" s="23"/>
      <c r="Q60" s="23"/>
      <c r="R60" s="23"/>
      <c r="S60" s="23"/>
    </row>
    <row r="61" spans="1:19" x14ac:dyDescent="0.25">
      <c r="A61" s="160">
        <v>39</v>
      </c>
      <c r="B61" s="186">
        <v>1.6666666666666701</v>
      </c>
      <c r="C61" s="183"/>
      <c r="D61" s="182">
        <v>1</v>
      </c>
      <c r="E61" s="248">
        <f>SUMIF(Jan!$Z$4:$Z$9,A61,Jan!$AB$4:$AB$9)+SUMIF(Feb!$Z$4:$Z$9,A61,Feb!$AB$4:$AB$9)+SUMIF(Maa!$Z$4:$Z$9,A61,Maa!$AB$4:$AB$9)+SUMIF(Apr!$Z$4:$Z$9,A61,Apr!$AB$4:$AB$9)+SUMIF(Mei!$Z$4:$Z$9,A61,Mei!$AB$4:$AB$9)+SUMIF(Jun!$Z$4:$Z$9,A61,Jun!$AB$4:$AB$9)+SUMIF(Jul!$Z$4:$Z$9,A61,Jul!$AB$4:$AB$9)+SUMIF(Aug!$Z$4:$Z$9,A61,Aug!$AB$4:$AB$9)+SUMIF(Sep!$Z$4:$Z$9,A61,Sep!$AB$4:$AB$9)+SUMIF(Okt!$Z$4:$Z$9,A61,Okt!$AB$4:$AB$9)+SUMIF(Nov!$Z$4:$Z$9,A61,Nov!$AB$4:$AB$9)+SUMIF(Dec!$Z$4:$Z$9,A61,Dec!$AB$4:$AB$9)</f>
        <v>0</v>
      </c>
      <c r="F61" s="247" t="str">
        <f t="shared" si="6"/>
        <v/>
      </c>
      <c r="G61" s="238">
        <f t="shared" si="5"/>
        <v>0</v>
      </c>
      <c r="H61" s="273">
        <f t="shared" si="7"/>
        <v>40.000000000000085</v>
      </c>
      <c r="I61" s="277"/>
      <c r="J61" s="45"/>
      <c r="K61" s="161"/>
      <c r="L61" s="161"/>
      <c r="M61" s="22"/>
      <c r="N61" s="22"/>
      <c r="P61" s="23"/>
      <c r="Q61" s="23"/>
      <c r="R61" s="23"/>
      <c r="S61" s="23"/>
    </row>
    <row r="62" spans="1:19" x14ac:dyDescent="0.25">
      <c r="A62" s="160">
        <v>40</v>
      </c>
      <c r="B62" s="187">
        <v>1.6666666666666701</v>
      </c>
      <c r="C62" s="183"/>
      <c r="D62" s="182">
        <v>1</v>
      </c>
      <c r="E62" s="248">
        <f>SUMIF(Jan!$Z$4:$Z$9,A62,Jan!$AB$4:$AB$9)+SUMIF(Feb!$Z$4:$Z$9,A62,Feb!$AB$4:$AB$9)+SUMIF(Maa!$Z$4:$Z$9,A62,Maa!$AB$4:$AB$9)+SUMIF(Apr!$Z$4:$Z$9,A62,Apr!$AB$4:$AB$9)+SUMIF(Mei!$Z$4:$Z$9,A62,Mei!$AB$4:$AB$9)+SUMIF(Jun!$Z$4:$Z$9,A62,Jun!$AB$4:$AB$9)+SUMIF(Jul!$Z$4:$Z$9,A62,Jul!$AB$4:$AB$9)+SUMIF(Aug!$Z$4:$Z$9,A62,Aug!$AB$4:$AB$9)+SUMIF(Sep!$Z$4:$Z$9,A62,Sep!$AB$4:$AB$9)+SUMIF(Okt!$Z$4:$Z$9,A62,Okt!$AB$4:$AB$9)+SUMIF(Nov!$Z$4:$Z$9,A62,Nov!$AB$4:$AB$9)+SUMIF(Dec!$Z$4:$Z$9,A62,Dec!$AB$4:$AB$9)</f>
        <v>0</v>
      </c>
      <c r="F62" s="247" t="str">
        <f t="shared" si="6"/>
        <v/>
      </c>
      <c r="G62" s="238">
        <f t="shared" si="5"/>
        <v>0</v>
      </c>
      <c r="H62" s="272">
        <f t="shared" si="7"/>
        <v>40.000000000000085</v>
      </c>
      <c r="I62" s="277"/>
      <c r="J62" s="45"/>
      <c r="K62" s="161"/>
      <c r="L62" s="161"/>
      <c r="M62" s="22"/>
      <c r="N62" s="22"/>
      <c r="P62" s="23"/>
      <c r="Q62" s="23"/>
      <c r="R62" s="23"/>
      <c r="S62" s="23"/>
    </row>
    <row r="63" spans="1:19" x14ac:dyDescent="0.25">
      <c r="A63" s="160">
        <v>41</v>
      </c>
      <c r="B63" s="186">
        <v>1.6666666666666701</v>
      </c>
      <c r="C63" s="183"/>
      <c r="D63" s="182">
        <v>1</v>
      </c>
      <c r="E63" s="248">
        <f>SUMIF(Jan!$Z$4:$Z$9,A63,Jan!$AB$4:$AB$9)+SUMIF(Feb!$Z$4:$Z$9,A63,Feb!$AB$4:$AB$9)+SUMIF(Maa!$Z$4:$Z$9,A63,Maa!$AB$4:$AB$9)+SUMIF(Apr!$Z$4:$Z$9,A63,Apr!$AB$4:$AB$9)+SUMIF(Mei!$Z$4:$Z$9,A63,Mei!$AB$4:$AB$9)+SUMIF(Jun!$Z$4:$Z$9,A63,Jun!$AB$4:$AB$9)+SUMIF(Jul!$Z$4:$Z$9,A63,Jul!$AB$4:$AB$9)+SUMIF(Aug!$Z$4:$Z$9,A63,Aug!$AB$4:$AB$9)+SUMIF(Sep!$Z$4:$Z$9,A63,Sep!$AB$4:$AB$9)+SUMIF(Okt!$Z$4:$Z$9,A63,Okt!$AB$4:$AB$9)+SUMIF(Nov!$Z$4:$Z$9,A63,Nov!$AB$4:$AB$9)+SUMIF(Dec!$Z$4:$Z$9,A63,Dec!$AB$4:$AB$9)</f>
        <v>0</v>
      </c>
      <c r="F63" s="247" t="str">
        <f t="shared" si="6"/>
        <v/>
      </c>
      <c r="G63" s="238">
        <f t="shared" si="5"/>
        <v>0</v>
      </c>
      <c r="H63" s="273">
        <f t="shared" si="7"/>
        <v>40.000000000000085</v>
      </c>
      <c r="I63" s="277"/>
      <c r="J63" s="45"/>
      <c r="K63" s="161"/>
      <c r="L63" s="161"/>
      <c r="M63" s="22"/>
      <c r="N63" s="22"/>
      <c r="P63" s="23"/>
      <c r="Q63" s="23"/>
      <c r="R63" s="23"/>
      <c r="S63" s="23"/>
    </row>
    <row r="64" spans="1:19" x14ac:dyDescent="0.25">
      <c r="A64" s="160">
        <v>42</v>
      </c>
      <c r="B64" s="187">
        <v>1.6666666666666701</v>
      </c>
      <c r="C64" s="183"/>
      <c r="D64" s="182">
        <v>1</v>
      </c>
      <c r="E64" s="248">
        <f>SUMIF(Jan!$Z$4:$Z$9,A64,Jan!$AB$4:$AB$9)+SUMIF(Feb!$Z$4:$Z$9,A64,Feb!$AB$4:$AB$9)+SUMIF(Maa!$Z$4:$Z$9,A64,Maa!$AB$4:$AB$9)+SUMIF(Apr!$Z$4:$Z$9,A64,Apr!$AB$4:$AB$9)+SUMIF(Mei!$Z$4:$Z$9,A64,Mei!$AB$4:$AB$9)+SUMIF(Jun!$Z$4:$Z$9,A64,Jun!$AB$4:$AB$9)+SUMIF(Jul!$Z$4:$Z$9,A64,Jul!$AB$4:$AB$9)+SUMIF(Aug!$Z$4:$Z$9,A64,Aug!$AB$4:$AB$9)+SUMIF(Sep!$Z$4:$Z$9,A64,Sep!$AB$4:$AB$9)+SUMIF(Okt!$Z$4:$Z$9,A64,Okt!$AB$4:$AB$9)+SUMIF(Nov!$Z$4:$Z$9,A64,Nov!$AB$4:$AB$9)+SUMIF(Dec!$Z$4:$Z$9,A64,Dec!$AB$4:$AB$9)</f>
        <v>0</v>
      </c>
      <c r="F64" s="247" t="str">
        <f t="shared" si="6"/>
        <v/>
      </c>
      <c r="G64" s="238">
        <f t="shared" si="5"/>
        <v>0</v>
      </c>
      <c r="H64" s="272">
        <f t="shared" si="7"/>
        <v>40.000000000000085</v>
      </c>
      <c r="I64" s="277"/>
      <c r="J64" s="45"/>
      <c r="K64" s="161"/>
      <c r="L64" s="161"/>
      <c r="M64" s="22"/>
      <c r="N64" s="22"/>
      <c r="P64" s="23"/>
      <c r="Q64" s="23"/>
      <c r="R64" s="23"/>
      <c r="S64" s="23"/>
    </row>
    <row r="65" spans="1:19" x14ac:dyDescent="0.25">
      <c r="A65" s="160">
        <v>43</v>
      </c>
      <c r="B65" s="186">
        <v>1.6666666666666701</v>
      </c>
      <c r="C65" s="183"/>
      <c r="D65" s="182">
        <v>1</v>
      </c>
      <c r="E65" s="248">
        <f>SUMIF(Jan!$Z$4:$Z$9,A65,Jan!$AB$4:$AB$9)+SUMIF(Feb!$Z$4:$Z$9,A65,Feb!$AB$4:$AB$9)+SUMIF(Maa!$Z$4:$Z$9,A65,Maa!$AB$4:$AB$9)+SUMIF(Apr!$Z$4:$Z$9,A65,Apr!$AB$4:$AB$9)+SUMIF(Mei!$Z$4:$Z$9,A65,Mei!$AB$4:$AB$9)+SUMIF(Jun!$Z$4:$Z$9,A65,Jun!$AB$4:$AB$9)+SUMIF(Jul!$Z$4:$Z$9,A65,Jul!$AB$4:$AB$9)+SUMIF(Aug!$Z$4:$Z$9,A65,Aug!$AB$4:$AB$9)+SUMIF(Sep!$Z$4:$Z$9,A65,Sep!$AB$4:$AB$9)+SUMIF(Okt!$Z$4:$Z$9,A65,Okt!$AB$4:$AB$9)+SUMIF(Nov!$Z$4:$Z$9,A65,Nov!$AB$4:$AB$9)+SUMIF(Dec!$Z$4:$Z$9,A65,Dec!$AB$4:$AB$9)</f>
        <v>0</v>
      </c>
      <c r="F65" s="247" t="str">
        <f t="shared" si="6"/>
        <v/>
      </c>
      <c r="G65" s="238">
        <f t="shared" si="5"/>
        <v>0</v>
      </c>
      <c r="H65" s="273">
        <f t="shared" si="7"/>
        <v>40.000000000000085</v>
      </c>
      <c r="I65" s="277"/>
      <c r="J65" s="45"/>
      <c r="K65" s="161"/>
      <c r="L65" s="161"/>
      <c r="M65" s="22"/>
      <c r="N65" s="22"/>
      <c r="P65" s="23"/>
      <c r="Q65" s="23"/>
      <c r="R65" s="23"/>
      <c r="S65" s="23"/>
    </row>
    <row r="66" spans="1:19" x14ac:dyDescent="0.25">
      <c r="A66" s="160">
        <v>44</v>
      </c>
      <c r="B66" s="187">
        <v>1.6666666666666701</v>
      </c>
      <c r="C66" s="183"/>
      <c r="D66" s="182">
        <v>1</v>
      </c>
      <c r="E66" s="248">
        <f>SUMIF(Jan!$Z$4:$Z$9,A66,Jan!$AB$4:$AB$9)+SUMIF(Feb!$Z$4:$Z$9,A66,Feb!$AB$4:$AB$9)+SUMIF(Maa!$Z$4:$Z$9,A66,Maa!$AB$4:$AB$9)+SUMIF(Apr!$Z$4:$Z$9,A66,Apr!$AB$4:$AB$9)+SUMIF(Mei!$Z$4:$Z$9,A66,Mei!$AB$4:$AB$9)+SUMIF(Jun!$Z$4:$Z$9,A66,Jun!$AB$4:$AB$9)+SUMIF(Jul!$Z$4:$Z$9,A66,Jul!$AB$4:$AB$9)+SUMIF(Aug!$Z$4:$Z$9,A66,Aug!$AB$4:$AB$9)+SUMIF(Sep!$Z$4:$Z$9,A66,Sep!$AB$4:$AB$9)+SUMIF(Okt!$Z$4:$Z$9,A66,Okt!$AB$4:$AB$9)+SUMIF(Nov!$Z$4:$Z$9,A66,Nov!$AB$4:$AB$9)+SUMIF(Dec!$Z$4:$Z$9,A66,Dec!$AB$4:$AB$9)</f>
        <v>0</v>
      </c>
      <c r="F66" s="247" t="str">
        <f t="shared" si="6"/>
        <v/>
      </c>
      <c r="G66" s="238">
        <f t="shared" si="5"/>
        <v>0</v>
      </c>
      <c r="H66" s="272">
        <f t="shared" si="7"/>
        <v>40.000000000000085</v>
      </c>
      <c r="I66" s="277"/>
      <c r="J66" s="45"/>
      <c r="K66" s="161"/>
      <c r="L66" s="161"/>
      <c r="M66" s="22"/>
      <c r="N66" s="22"/>
      <c r="P66" s="23"/>
      <c r="Q66" s="23"/>
      <c r="R66" s="23"/>
      <c r="S66" s="23"/>
    </row>
    <row r="67" spans="1:19" x14ac:dyDescent="0.25">
      <c r="A67" s="160">
        <v>45</v>
      </c>
      <c r="B67" s="186">
        <v>1.6666666666666701</v>
      </c>
      <c r="C67" s="183"/>
      <c r="D67" s="182">
        <v>1</v>
      </c>
      <c r="E67" s="248">
        <f>SUMIF(Jan!$Z$4:$Z$9,A67,Jan!$AB$4:$AB$9)+SUMIF(Feb!$Z$4:$Z$9,A67,Feb!$AB$4:$AB$9)+SUMIF(Maa!$Z$4:$Z$9,A67,Maa!$AB$4:$AB$9)+SUMIF(Apr!$Z$4:$Z$9,A67,Apr!$AB$4:$AB$9)+SUMIF(Mei!$Z$4:$Z$9,A67,Mei!$AB$4:$AB$9)+SUMIF(Jun!$Z$4:$Z$9,A67,Jun!$AB$4:$AB$9)+SUMIF(Jul!$Z$4:$Z$9,A67,Jul!$AB$4:$AB$9)+SUMIF(Aug!$Z$4:$Z$9,A67,Aug!$AB$4:$AB$9)+SUMIF(Sep!$Z$4:$Z$9,A67,Sep!$AB$4:$AB$9)+SUMIF(Okt!$Z$4:$Z$9,A67,Okt!$AB$4:$AB$9)+SUMIF(Nov!$Z$4:$Z$9,A67,Nov!$AB$4:$AB$9)+SUMIF(Dec!$Z$4:$Z$9,A67,Dec!$AB$4:$AB$9)</f>
        <v>0</v>
      </c>
      <c r="F67" s="247" t="str">
        <f t="shared" si="6"/>
        <v/>
      </c>
      <c r="G67" s="238">
        <f t="shared" si="5"/>
        <v>0</v>
      </c>
      <c r="H67" s="273">
        <f t="shared" si="7"/>
        <v>40.000000000000085</v>
      </c>
      <c r="I67" s="277"/>
      <c r="J67" s="45"/>
      <c r="K67" s="161"/>
      <c r="L67" s="161"/>
      <c r="M67" s="22"/>
      <c r="N67" s="22"/>
      <c r="P67" s="23"/>
      <c r="Q67" s="23"/>
      <c r="R67" s="23"/>
      <c r="S67" s="23"/>
    </row>
    <row r="68" spans="1:19" x14ac:dyDescent="0.25">
      <c r="A68" s="160">
        <v>46</v>
      </c>
      <c r="B68" s="187">
        <v>1.6666666666666701</v>
      </c>
      <c r="C68" s="183"/>
      <c r="D68" s="182">
        <v>1</v>
      </c>
      <c r="E68" s="248">
        <f>SUMIF(Jan!$Z$4:$Z$9,A68,Jan!$AB$4:$AB$9)+SUMIF(Feb!$Z$4:$Z$9,A68,Feb!$AB$4:$AB$9)+SUMIF(Maa!$Z$4:$Z$9,A68,Maa!$AB$4:$AB$9)+SUMIF(Apr!$Z$4:$Z$9,A68,Apr!$AB$4:$AB$9)+SUMIF(Mei!$Z$4:$Z$9,A68,Mei!$AB$4:$AB$9)+SUMIF(Jun!$Z$4:$Z$9,A68,Jun!$AB$4:$AB$9)+SUMIF(Jul!$Z$4:$Z$9,A68,Jul!$AB$4:$AB$9)+SUMIF(Aug!$Z$4:$Z$9,A68,Aug!$AB$4:$AB$9)+SUMIF(Sep!$Z$4:$Z$9,A68,Sep!$AB$4:$AB$9)+SUMIF(Okt!$Z$4:$Z$9,A68,Okt!$AB$4:$AB$9)+SUMIF(Nov!$Z$4:$Z$9,A68,Nov!$AB$4:$AB$9)+SUMIF(Dec!$Z$4:$Z$9,A68,Dec!$AB$4:$AB$9)</f>
        <v>0</v>
      </c>
      <c r="F68" s="247" t="str">
        <f t="shared" si="6"/>
        <v/>
      </c>
      <c r="G68" s="238">
        <f t="shared" si="5"/>
        <v>0</v>
      </c>
      <c r="H68" s="272">
        <f t="shared" si="7"/>
        <v>40.000000000000085</v>
      </c>
      <c r="I68" s="277"/>
      <c r="J68" s="45"/>
      <c r="K68" s="161"/>
      <c r="L68" s="161"/>
      <c r="M68" s="22"/>
      <c r="N68" s="22"/>
      <c r="P68" s="23"/>
      <c r="Q68" s="23"/>
      <c r="R68" s="23"/>
      <c r="S68" s="23"/>
    </row>
    <row r="69" spans="1:19" x14ac:dyDescent="0.25">
      <c r="A69" s="160">
        <v>47</v>
      </c>
      <c r="B69" s="186">
        <v>1.6666666666666701</v>
      </c>
      <c r="C69" s="183"/>
      <c r="D69" s="182">
        <v>1</v>
      </c>
      <c r="E69" s="248">
        <f>SUMIF(Jan!$Z$4:$Z$9,A69,Jan!$AB$4:$AB$9)+SUMIF(Feb!$Z$4:$Z$9,A69,Feb!$AB$4:$AB$9)+SUMIF(Maa!$Z$4:$Z$9,A69,Maa!$AB$4:$AB$9)+SUMIF(Apr!$Z$4:$Z$9,A69,Apr!$AB$4:$AB$9)+SUMIF(Mei!$Z$4:$Z$9,A69,Mei!$AB$4:$AB$9)+SUMIF(Jun!$Z$4:$Z$9,A69,Jun!$AB$4:$AB$9)+SUMIF(Jul!$Z$4:$Z$9,A69,Jul!$AB$4:$AB$9)+SUMIF(Aug!$Z$4:$Z$9,A69,Aug!$AB$4:$AB$9)+SUMIF(Sep!$Z$4:$Z$9,A69,Sep!$AB$4:$AB$9)+SUMIF(Okt!$Z$4:$Z$9,A69,Okt!$AB$4:$AB$9)+SUMIF(Nov!$Z$4:$Z$9,A69,Nov!$AB$4:$AB$9)+SUMIF(Dec!$Z$4:$Z$9,A69,Dec!$AB$4:$AB$9)</f>
        <v>0</v>
      </c>
      <c r="F69" s="247" t="str">
        <f t="shared" si="6"/>
        <v/>
      </c>
      <c r="G69" s="238">
        <f t="shared" si="5"/>
        <v>0</v>
      </c>
      <c r="H69" s="273">
        <f t="shared" si="7"/>
        <v>40.000000000000085</v>
      </c>
      <c r="I69" s="277"/>
      <c r="J69" s="45"/>
      <c r="K69" s="161"/>
      <c r="L69" s="161"/>
      <c r="M69" s="22"/>
      <c r="N69" s="22"/>
      <c r="P69" s="23"/>
      <c r="Q69" s="23"/>
      <c r="R69" s="23"/>
      <c r="S69" s="23"/>
    </row>
    <row r="70" spans="1:19" x14ac:dyDescent="0.25">
      <c r="A70" s="160">
        <v>48</v>
      </c>
      <c r="B70" s="187">
        <v>1.6666666666666701</v>
      </c>
      <c r="C70" s="183"/>
      <c r="D70" s="182">
        <v>1</v>
      </c>
      <c r="E70" s="248">
        <f>SUMIF(Jan!$Z$4:$Z$9,A70,Jan!$AB$4:$AB$9)+SUMIF(Feb!$Z$4:$Z$9,A70,Feb!$AB$4:$AB$9)+SUMIF(Maa!$Z$4:$Z$9,A70,Maa!$AB$4:$AB$9)+SUMIF(Apr!$Z$4:$Z$9,A70,Apr!$AB$4:$AB$9)+SUMIF(Mei!$Z$4:$Z$9,A70,Mei!$AB$4:$AB$9)+SUMIF(Jun!$Z$4:$Z$9,A70,Jun!$AB$4:$AB$9)+SUMIF(Jul!$Z$4:$Z$9,A70,Jul!$AB$4:$AB$9)+SUMIF(Aug!$Z$4:$Z$9,A70,Aug!$AB$4:$AB$9)+SUMIF(Sep!$Z$4:$Z$9,A70,Sep!$AB$4:$AB$9)+SUMIF(Okt!$Z$4:$Z$9,A70,Okt!$AB$4:$AB$9)+SUMIF(Nov!$Z$4:$Z$9,A70,Nov!$AB$4:$AB$9)+SUMIF(Dec!$Z$4:$Z$9,A70,Dec!$AB$4:$AB$9)</f>
        <v>0</v>
      </c>
      <c r="F70" s="247" t="str">
        <f t="shared" si="6"/>
        <v/>
      </c>
      <c r="G70" s="238">
        <f t="shared" si="5"/>
        <v>0</v>
      </c>
      <c r="H70" s="272">
        <f t="shared" si="7"/>
        <v>40.000000000000085</v>
      </c>
      <c r="I70" s="277"/>
      <c r="J70" s="45"/>
      <c r="K70" s="161"/>
      <c r="L70" s="161"/>
      <c r="M70" s="22"/>
      <c r="N70" s="22"/>
      <c r="P70" s="23"/>
      <c r="Q70" s="23"/>
      <c r="R70" s="23"/>
      <c r="S70" s="23"/>
    </row>
    <row r="71" spans="1:19" x14ac:dyDescent="0.25">
      <c r="A71" s="160">
        <v>49</v>
      </c>
      <c r="B71" s="186">
        <v>1.6666666666666701</v>
      </c>
      <c r="C71" s="183"/>
      <c r="D71" s="182">
        <v>1</v>
      </c>
      <c r="E71" s="248">
        <f>SUMIF(Jan!$Z$4:$Z$9,A71,Jan!$AB$4:$AB$9)+SUMIF(Feb!$Z$4:$Z$9,A71,Feb!$AB$4:$AB$9)+SUMIF(Maa!$Z$4:$Z$9,A71,Maa!$AB$4:$AB$9)+SUMIF(Apr!$Z$4:$Z$9,A71,Apr!$AB$4:$AB$9)+SUMIF(Mei!$Z$4:$Z$9,A71,Mei!$AB$4:$AB$9)+SUMIF(Jun!$Z$4:$Z$9,A71,Jun!$AB$4:$AB$9)+SUMIF(Jul!$Z$4:$Z$9,A71,Jul!$AB$4:$AB$9)+SUMIF(Aug!$Z$4:$Z$9,A71,Aug!$AB$4:$AB$9)+SUMIF(Sep!$Z$4:$Z$9,A71,Sep!$AB$4:$AB$9)+SUMIF(Okt!$Z$4:$Z$9,A71,Okt!$AB$4:$AB$9)+SUMIF(Nov!$Z$4:$Z$9,A71,Nov!$AB$4:$AB$9)+SUMIF(Dec!$Z$4:$Z$9,A71,Dec!$AB$4:$AB$9)</f>
        <v>0</v>
      </c>
      <c r="F71" s="247" t="str">
        <f t="shared" si="6"/>
        <v/>
      </c>
      <c r="G71" s="238">
        <f t="shared" si="5"/>
        <v>0</v>
      </c>
      <c r="H71" s="273">
        <f t="shared" si="7"/>
        <v>40.000000000000085</v>
      </c>
      <c r="I71" s="277"/>
      <c r="J71" s="45"/>
      <c r="K71" s="161"/>
      <c r="L71" s="161"/>
      <c r="M71" s="22"/>
      <c r="N71" s="22"/>
      <c r="P71" s="23"/>
      <c r="Q71" s="23"/>
      <c r="R71" s="23"/>
      <c r="S71" s="23"/>
    </row>
    <row r="72" spans="1:19" x14ac:dyDescent="0.25">
      <c r="A72" s="160">
        <v>50</v>
      </c>
      <c r="B72" s="187">
        <v>1.6666666666666701</v>
      </c>
      <c r="C72" s="183"/>
      <c r="D72" s="182">
        <v>1</v>
      </c>
      <c r="E72" s="248">
        <f>SUMIF(Jan!$Z$4:$Z$9,A72,Jan!$AB$4:$AB$9)+SUMIF(Feb!$Z$4:$Z$9,A72,Feb!$AB$4:$AB$9)+SUMIF(Maa!$Z$4:$Z$9,A72,Maa!$AB$4:$AB$9)+SUMIF(Apr!$Z$4:$Z$9,A72,Apr!$AB$4:$AB$9)+SUMIF(Mei!$Z$4:$Z$9,A72,Mei!$AB$4:$AB$9)+SUMIF(Jun!$Z$4:$Z$9,A72,Jun!$AB$4:$AB$9)+SUMIF(Jul!$Z$4:$Z$9,A72,Jul!$AB$4:$AB$9)+SUMIF(Aug!$Z$4:$Z$9,A72,Aug!$AB$4:$AB$9)+SUMIF(Sep!$Z$4:$Z$9,A72,Sep!$AB$4:$AB$9)+SUMIF(Okt!$Z$4:$Z$9,A72,Okt!$AB$4:$AB$9)+SUMIF(Nov!$Z$4:$Z$9,A72,Nov!$AB$4:$AB$9)+SUMIF(Dec!$Z$4:$Z$9,A72,Dec!$AB$4:$AB$9)</f>
        <v>0</v>
      </c>
      <c r="F72" s="247" t="str">
        <f t="shared" si="6"/>
        <v/>
      </c>
      <c r="G72" s="238">
        <f t="shared" si="5"/>
        <v>0</v>
      </c>
      <c r="H72" s="272">
        <f t="shared" si="7"/>
        <v>40.000000000000085</v>
      </c>
      <c r="I72" s="277"/>
      <c r="J72" s="45"/>
      <c r="K72" s="161"/>
      <c r="L72" s="161"/>
      <c r="M72" s="22"/>
      <c r="N72" s="22"/>
      <c r="P72" s="23"/>
      <c r="Q72" s="23"/>
      <c r="R72" s="23"/>
      <c r="S72" s="23"/>
    </row>
    <row r="73" spans="1:19" x14ac:dyDescent="0.25">
      <c r="A73" s="160">
        <v>51</v>
      </c>
      <c r="B73" s="186">
        <v>1.6666666666666701</v>
      </c>
      <c r="C73" s="183"/>
      <c r="D73" s="182">
        <v>1</v>
      </c>
      <c r="E73" s="248">
        <f>SUMIF(Jan!$Z$4:$Z$9,A73,Jan!$AB$4:$AB$9)+SUMIF(Feb!$Z$4:$Z$9,A73,Feb!$AB$4:$AB$9)+SUMIF(Maa!$Z$4:$Z$9,A73,Maa!$AB$4:$AB$9)+SUMIF(Apr!$Z$4:$Z$9,A73,Apr!$AB$4:$AB$9)+SUMIF(Mei!$Z$4:$Z$9,A73,Mei!$AB$4:$AB$9)+SUMIF(Jun!$Z$4:$Z$9,A73,Jun!$AB$4:$AB$9)+SUMIF(Jul!$Z$4:$Z$9,A73,Jul!$AB$4:$AB$9)+SUMIF(Aug!$Z$4:$Z$9,A73,Aug!$AB$4:$AB$9)+SUMIF(Sep!$Z$4:$Z$9,A73,Sep!$AB$4:$AB$9)+SUMIF(Okt!$Z$4:$Z$9,A73,Okt!$AB$4:$AB$9)+SUMIF(Nov!$Z$4:$Z$9,A73,Nov!$AB$4:$AB$9)+SUMIF(Dec!$Z$4:$Z$9,A73,Dec!$AB$4:$AB$9)</f>
        <v>0</v>
      </c>
      <c r="F73" s="247" t="str">
        <f t="shared" si="6"/>
        <v/>
      </c>
      <c r="G73" s="238">
        <f t="shared" si="5"/>
        <v>0</v>
      </c>
      <c r="H73" s="273">
        <f t="shared" si="7"/>
        <v>40.000000000000085</v>
      </c>
      <c r="I73" s="277"/>
      <c r="J73" s="45"/>
      <c r="K73" s="161"/>
      <c r="L73" s="161"/>
      <c r="M73" s="22"/>
      <c r="N73" s="22"/>
      <c r="P73" s="23"/>
      <c r="Q73" s="23"/>
      <c r="R73" s="23"/>
      <c r="S73" s="23"/>
    </row>
    <row r="74" spans="1:19" x14ac:dyDescent="0.25">
      <c r="A74" s="283">
        <v>52</v>
      </c>
      <c r="B74" s="187">
        <v>1.6666666666666701</v>
      </c>
      <c r="C74" s="183"/>
      <c r="D74" s="182">
        <v>1</v>
      </c>
      <c r="E74" s="284">
        <f>SUMIF(Jan!$Z$4:$Z$9,A74,Jan!$AB$4:$AB$9)+SUMIF(Feb!$Z$4:$Z$9,A74,Feb!$AB$4:$AB$9)+SUMIF(Maa!$Z$4:$Z$9,A74,Maa!$AB$4:$AB$9)+SUMIF(Apr!$Z$4:$Z$9,A74,Apr!$AB$4:$AB$9)+SUMIF(Mei!$Z$4:$Z$9,A74,Mei!$AB$4:$AB$9)+SUMIF(Jun!$Z$4:$Z$9,A74,Jun!$AB$4:$AB$9)+SUMIF(Jul!$Z$4:$Z$9,A74,Jul!$AB$4:$AB$9)+SUMIF(Aug!$Z$4:$Z$9,A74,Aug!$AB$4:$AB$9)+SUMIF(Sep!$Z$4:$Z$9,A74,Sep!$AB$4:$AB$9)+SUMIF(Okt!$Z$4:$Z$9,A74,Okt!$AB$4:$AB$9)+SUMIF(Nov!$Z$4:$Z$9,A74,Nov!$AB$4:$AB$9)+SUMIF(Dec!$Z$4:$Z$9,A74,Dec!$AB$4:$AB$9)</f>
        <v>0</v>
      </c>
      <c r="F74" s="247" t="str">
        <f t="shared" si="6"/>
        <v/>
      </c>
      <c r="G74" s="238">
        <f t="shared" si="5"/>
        <v>0</v>
      </c>
      <c r="H74" s="272">
        <f t="shared" si="7"/>
        <v>40.000000000000085</v>
      </c>
      <c r="I74" s="277"/>
      <c r="J74" s="45"/>
      <c r="K74" s="161"/>
      <c r="L74" s="161"/>
      <c r="M74" s="22"/>
      <c r="N74" s="22"/>
      <c r="P74" s="23"/>
      <c r="Q74" s="23"/>
      <c r="R74" s="23"/>
      <c r="S74" s="23"/>
    </row>
    <row r="75" spans="1:19" ht="16.5" thickBot="1" x14ac:dyDescent="0.3">
      <c r="A75" s="162">
        <v>53</v>
      </c>
      <c r="B75" s="186">
        <v>1.6666666666666701</v>
      </c>
      <c r="C75" s="183"/>
      <c r="D75" s="182">
        <v>1</v>
      </c>
      <c r="E75" s="249">
        <f>SUMIF(Jan!$Z$4:$Z$9,A75,Jan!$AB$4:$AB$9)+SUMIF(Feb!$Z$4:$Z$9,A75,Feb!$AB$4:$AB$9)+SUMIF(Maa!$Z$4:$Z$9,A75,Maa!$AB$4:$AB$9)+SUMIF(Apr!$Z$4:$Z$9,A75,Apr!$AB$4:$AB$9)+SUMIF(Mei!$Z$4:$Z$9,A75,Mei!$AB$4:$AB$9)+SUMIF(Jun!$Z$4:$Z$9,A75,Jun!$AB$4:$AB$9)+SUMIF(Jul!$Z$4:$Z$9,A75,Jul!$AB$4:$AB$9)+SUMIF(Aug!$Z$4:$Z$9,A75,Aug!$AB$4:$AB$9)+SUMIF(Sep!$Z$4:$Z$9,A75,Sep!$AB$4:$AB$9)+SUMIF(Okt!$Z$4:$Z$9,A75,Okt!$AB$4:$AB$9)+SUMIF(Nov!$Z$4:$Z$9,A75,Nov!$AB$4:$AB$9)+SUMIF(Dec!$Z$4:$Z$9,A75,Dec!$AB$4:$AB$9)</f>
        <v>0</v>
      </c>
      <c r="F75" s="247" t="str">
        <f t="shared" ref="F75" si="8">IF(C75="JA",0,IF(E75-B75&lt;0,"",(E75-B75)*D75))</f>
        <v/>
      </c>
      <c r="G75" s="238">
        <f t="shared" ref="G75" si="9">IF(C75="",0,IF(D75&lt;&gt;1,0,IF(E75-B75&lt;0,0,E75-B75)))</f>
        <v>0</v>
      </c>
      <c r="H75" s="285">
        <f t="shared" ref="H75" si="10">B75*24</f>
        <v>40.000000000000085</v>
      </c>
      <c r="I75" s="282"/>
      <c r="J75" s="45"/>
      <c r="K75" s="161"/>
      <c r="L75" s="161"/>
      <c r="M75" s="22"/>
      <c r="N75" s="22"/>
      <c r="P75" s="23"/>
      <c r="Q75" s="23"/>
      <c r="R75" s="23"/>
      <c r="S75" s="23"/>
    </row>
    <row r="76" spans="1:19" ht="16.5" thickBot="1" x14ac:dyDescent="0.3">
      <c r="A76" s="318" t="s">
        <v>90</v>
      </c>
      <c r="B76" s="319"/>
      <c r="C76" s="319"/>
      <c r="D76" s="319"/>
      <c r="E76" s="319"/>
      <c r="F76" s="163">
        <f>SUM(F22:F74)</f>
        <v>0</v>
      </c>
      <c r="G76" s="260">
        <f>SUM(G22:G74)</f>
        <v>0</v>
      </c>
      <c r="H76" s="278">
        <f>SUM(H23:H74)</f>
        <v>2080.0000000000027</v>
      </c>
      <c r="I76" s="275"/>
      <c r="J76" s="10"/>
      <c r="K76" s="22"/>
      <c r="L76" s="22"/>
      <c r="M76" s="22"/>
      <c r="N76" s="22"/>
      <c r="P76" s="23"/>
      <c r="Q76" s="23"/>
      <c r="R76" s="23"/>
      <c r="S76" s="23"/>
    </row>
    <row r="77" spans="1:19" ht="16.5" thickBot="1" x14ac:dyDescent="0.3">
      <c r="H77" s="261"/>
      <c r="I77" s="262"/>
      <c r="J77" s="4"/>
    </row>
    <row r="78" spans="1:19" x14ac:dyDescent="0.25">
      <c r="F78" s="314" t="s">
        <v>136</v>
      </c>
      <c r="G78" s="315"/>
      <c r="H78" s="280">
        <f>(H76-1976)*96/104</f>
        <v>96.000000000002515</v>
      </c>
    </row>
    <row r="79" spans="1:19" ht="16.5" thickBot="1" x14ac:dyDescent="0.3">
      <c r="F79" s="316" t="s">
        <v>137</v>
      </c>
      <c r="G79" s="317"/>
      <c r="H79" s="281">
        <f>B17+J17+K17+L17+M17+S17+V17+Y17</f>
        <v>0</v>
      </c>
    </row>
    <row r="80" spans="1:19" ht="16.5" thickBot="1" x14ac:dyDescent="0.3"/>
    <row r="81" spans="6:8" ht="16.5" thickBot="1" x14ac:dyDescent="0.3">
      <c r="F81" s="318" t="s">
        <v>138</v>
      </c>
      <c r="G81" s="319"/>
      <c r="H81" s="279">
        <f>H78*H79/H76</f>
        <v>0</v>
      </c>
    </row>
  </sheetData>
  <mergeCells count="14">
    <mergeCell ref="A76:E76"/>
    <mergeCell ref="K26:N26"/>
    <mergeCell ref="K27:N27"/>
    <mergeCell ref="K28:N28"/>
    <mergeCell ref="K30:N30"/>
    <mergeCell ref="K32:N32"/>
    <mergeCell ref="K33:N33"/>
    <mergeCell ref="K34:N34"/>
    <mergeCell ref="F78:G78"/>
    <mergeCell ref="F79:G79"/>
    <mergeCell ref="F81:G81"/>
    <mergeCell ref="K22:N22"/>
    <mergeCell ref="K23:N23"/>
    <mergeCell ref="K24:N24"/>
  </mergeCells>
  <phoneticPr fontId="0" type="noConversion"/>
  <conditionalFormatting sqref="B4:H15">
    <cfRule type="cellIs" dxfId="5" priority="5" operator="equal">
      <formula>0</formula>
    </cfRule>
  </conditionalFormatting>
  <conditionalFormatting sqref="J4:AA15">
    <cfRule type="cellIs" dxfId="4" priority="7" operator="equal">
      <formula>0</formula>
    </cfRule>
  </conditionalFormatting>
  <conditionalFormatting sqref="O30">
    <cfRule type="cellIs" dxfId="3" priority="3" stopIfTrue="1" operator="greaterThanOrEqual">
      <formula>120</formula>
    </cfRule>
    <cfRule type="cellIs" dxfId="2" priority="4" operator="greaterThanOrEqual">
      <formula>100</formula>
    </cfRule>
  </conditionalFormatting>
  <conditionalFormatting sqref="O32:O34">
    <cfRule type="cellIs" dxfId="1" priority="1" stopIfTrue="1" operator="greaterThanOrEqual">
      <formula>120</formula>
    </cfRule>
    <cfRule type="cellIs" dxfId="0" priority="2" operator="greaterThanOrEqual">
      <formula>100</formula>
    </cfRule>
  </conditionalFormatting>
  <pageMargins left="0.74803149606299213" right="0.74803149606299213" top="0.98425196850393704" bottom="0.98425196850393704" header="0.51181102362204722" footer="0.51181102362204722"/>
  <pageSetup scale="94" orientation="landscape" r:id="rId1"/>
  <headerFooter alignWithMargins="0">
    <oddHeader>&amp;C&amp;F</oddHeader>
  </headerFooter>
  <ignoredErrors>
    <ignoredError sqref="G4:G15 N17 Y17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77868E-24C8-4B5B-85D7-D25758121E34}">
          <x14:formula1>
            <xm:f>Basisgegevens!$D$27:$D$28</xm:f>
          </x14:formula1>
          <xm:sqref>C22:C75</xm:sqref>
        </x14:dataValidation>
        <x14:dataValidation type="list" allowBlank="1" showInputMessage="1" showErrorMessage="1" xr:uid="{BD86571D-FD1A-4C0E-8EE7-21E36DBFE4CE}">
          <x14:formula1>
            <xm:f>Basisgegevens!$D$35:$D$36</xm:f>
          </x14:formula1>
          <xm:sqref>D22:D75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Blad15"/>
  <dimension ref="A1:L47"/>
  <sheetViews>
    <sheetView zoomScaleNormal="100" workbookViewId="0">
      <selection activeCell="D48" sqref="D48"/>
    </sheetView>
  </sheetViews>
  <sheetFormatPr defaultRowHeight="15.75" x14ac:dyDescent="0.25"/>
  <cols>
    <col min="1" max="1" width="17" customWidth="1"/>
    <col min="2" max="2" width="11.75" customWidth="1"/>
    <col min="3" max="3" width="11.625" customWidth="1"/>
    <col min="4" max="4" width="19.625" customWidth="1"/>
    <col min="5" max="5" width="11.375" customWidth="1"/>
    <col min="6" max="6" width="9.625" customWidth="1"/>
    <col min="7" max="7" width="10.25" customWidth="1"/>
    <col min="8" max="8" width="14.75" bestFit="1" customWidth="1"/>
    <col min="9" max="9" width="12.25" bestFit="1" customWidth="1"/>
    <col min="10" max="10" width="13.875" customWidth="1"/>
    <col min="11" max="11" width="16.625" bestFit="1" customWidth="1"/>
    <col min="12" max="12" width="17.25" bestFit="1" customWidth="1"/>
  </cols>
  <sheetData>
    <row r="1" spans="1:12" x14ac:dyDescent="0.25">
      <c r="A1" s="24" t="s">
        <v>49</v>
      </c>
      <c r="B1" s="56">
        <v>46023</v>
      </c>
      <c r="C1" s="30" t="s">
        <v>50</v>
      </c>
      <c r="D1" s="4"/>
      <c r="E1" s="179" t="s">
        <v>103</v>
      </c>
      <c r="F1" t="s">
        <v>105</v>
      </c>
    </row>
    <row r="2" spans="1:12" ht="16.5" thickBot="1" x14ac:dyDescent="0.3">
      <c r="A2" s="24"/>
      <c r="C2" s="30"/>
      <c r="H2" s="136" t="s">
        <v>51</v>
      </c>
      <c r="I2" s="25" t="s">
        <v>52</v>
      </c>
      <c r="J2" s="25" t="s">
        <v>53</v>
      </c>
      <c r="K2" s="25" t="s">
        <v>54</v>
      </c>
      <c r="L2" s="25" t="s">
        <v>55</v>
      </c>
    </row>
    <row r="3" spans="1:12" ht="16.5" thickBot="1" x14ac:dyDescent="0.3">
      <c r="A3" s="290" t="s">
        <v>56</v>
      </c>
      <c r="B3" s="291"/>
      <c r="D3" s="68" t="s">
        <v>57</v>
      </c>
      <c r="F3" s="25"/>
      <c r="G3" s="25"/>
      <c r="H3" s="137">
        <f>B1</f>
        <v>46023</v>
      </c>
      <c r="I3" s="138"/>
      <c r="J3" s="139"/>
      <c r="K3" s="139"/>
      <c r="L3" s="139"/>
    </row>
    <row r="4" spans="1:12" x14ac:dyDescent="0.25">
      <c r="A4" s="33" t="s">
        <v>58</v>
      </c>
      <c r="B4" s="57">
        <v>46023</v>
      </c>
      <c r="D4" s="127"/>
      <c r="H4" s="137">
        <v>46387</v>
      </c>
      <c r="I4" s="145"/>
      <c r="J4" s="145"/>
      <c r="K4" s="145"/>
      <c r="L4" s="145"/>
    </row>
    <row r="5" spans="1:12" x14ac:dyDescent="0.25">
      <c r="A5" s="34" t="s">
        <v>59</v>
      </c>
      <c r="B5" s="36">
        <v>46117</v>
      </c>
      <c r="D5" s="65" t="s">
        <v>22</v>
      </c>
      <c r="E5" s="39" t="s">
        <v>69</v>
      </c>
      <c r="H5" s="137"/>
      <c r="I5" s="145"/>
      <c r="J5" s="145"/>
      <c r="K5" s="145"/>
      <c r="L5" s="145"/>
    </row>
    <row r="6" spans="1:12" x14ac:dyDescent="0.25">
      <c r="A6" s="251" t="s">
        <v>126</v>
      </c>
      <c r="B6" s="36">
        <v>46118</v>
      </c>
      <c r="D6" s="65" t="s">
        <v>18</v>
      </c>
      <c r="E6" s="39" t="s">
        <v>70</v>
      </c>
      <c r="H6" s="145"/>
      <c r="I6" s="145"/>
      <c r="J6" s="145"/>
      <c r="K6" s="145"/>
      <c r="L6" s="145"/>
    </row>
    <row r="7" spans="1:12" x14ac:dyDescent="0.25">
      <c r="A7" s="34" t="s">
        <v>60</v>
      </c>
      <c r="B7" s="36">
        <v>46143</v>
      </c>
      <c r="D7" s="65" t="s">
        <v>86</v>
      </c>
      <c r="E7" s="39" t="s">
        <v>91</v>
      </c>
      <c r="H7" s="145"/>
      <c r="I7" s="145"/>
      <c r="J7" s="145"/>
      <c r="K7" s="145"/>
      <c r="L7" s="145"/>
    </row>
    <row r="8" spans="1:12" x14ac:dyDescent="0.25">
      <c r="A8" s="34" t="s">
        <v>61</v>
      </c>
      <c r="B8" s="36">
        <v>46156</v>
      </c>
      <c r="D8" s="65" t="s">
        <v>23</v>
      </c>
      <c r="E8" t="s">
        <v>71</v>
      </c>
      <c r="H8" s="145"/>
      <c r="I8" s="145"/>
      <c r="J8" s="145"/>
      <c r="K8" s="145"/>
      <c r="L8" s="145"/>
    </row>
    <row r="9" spans="1:12" x14ac:dyDescent="0.25">
      <c r="A9" s="34" t="s">
        <v>62</v>
      </c>
      <c r="B9" s="36">
        <v>46166</v>
      </c>
      <c r="D9" s="65" t="s">
        <v>24</v>
      </c>
      <c r="E9" t="s">
        <v>72</v>
      </c>
      <c r="H9" s="145"/>
      <c r="I9" s="145"/>
      <c r="J9" s="145"/>
      <c r="K9" s="145"/>
      <c r="L9" s="145"/>
    </row>
    <row r="10" spans="1:12" x14ac:dyDescent="0.25">
      <c r="A10" s="251" t="s">
        <v>125</v>
      </c>
      <c r="B10" s="36">
        <v>46167</v>
      </c>
      <c r="D10" s="66" t="s">
        <v>25</v>
      </c>
      <c r="E10" t="s">
        <v>73</v>
      </c>
      <c r="H10" s="145"/>
      <c r="I10" s="145"/>
      <c r="J10" s="145"/>
      <c r="K10" s="145"/>
      <c r="L10" s="145"/>
    </row>
    <row r="11" spans="1:12" x14ac:dyDescent="0.25">
      <c r="A11" s="34" t="s">
        <v>63</v>
      </c>
      <c r="B11" s="36">
        <v>46224</v>
      </c>
      <c r="D11" s="66" t="s">
        <v>26</v>
      </c>
      <c r="E11" s="256" t="s">
        <v>132</v>
      </c>
      <c r="H11" s="146" t="s">
        <v>140</v>
      </c>
      <c r="I11" s="145"/>
      <c r="J11" s="145"/>
      <c r="K11" s="145"/>
      <c r="L11" s="145"/>
    </row>
    <row r="12" spans="1:12" x14ac:dyDescent="0.25">
      <c r="A12" s="34" t="s">
        <v>64</v>
      </c>
      <c r="B12" s="36">
        <v>46249</v>
      </c>
      <c r="D12" s="65" t="s">
        <v>27</v>
      </c>
      <c r="E12" t="s">
        <v>75</v>
      </c>
      <c r="H12" s="145"/>
      <c r="I12" s="145"/>
      <c r="J12" s="145"/>
      <c r="K12" s="145"/>
      <c r="L12" s="145"/>
    </row>
    <row r="13" spans="1:12" x14ac:dyDescent="0.25">
      <c r="A13" s="34" t="s">
        <v>65</v>
      </c>
      <c r="B13" s="36">
        <v>46327</v>
      </c>
      <c r="D13" s="65" t="s">
        <v>28</v>
      </c>
      <c r="E13" t="s">
        <v>74</v>
      </c>
      <c r="H13" s="145"/>
      <c r="I13" s="145"/>
      <c r="J13" s="145"/>
      <c r="K13" s="145"/>
      <c r="L13" s="145"/>
    </row>
    <row r="14" spans="1:12" x14ac:dyDescent="0.25">
      <c r="A14" s="34" t="s">
        <v>66</v>
      </c>
      <c r="B14" s="36">
        <v>46337</v>
      </c>
      <c r="D14" s="65" t="s">
        <v>29</v>
      </c>
      <c r="E14" t="s">
        <v>76</v>
      </c>
    </row>
    <row r="15" spans="1:12" ht="16.5" thickBot="1" x14ac:dyDescent="0.3">
      <c r="A15" s="35" t="s">
        <v>67</v>
      </c>
      <c r="B15" s="37">
        <v>46381</v>
      </c>
      <c r="D15" s="67" t="s">
        <v>30</v>
      </c>
      <c r="E15" t="s">
        <v>77</v>
      </c>
    </row>
    <row r="16" spans="1:12" x14ac:dyDescent="0.25">
      <c r="D16" s="65" t="s">
        <v>31</v>
      </c>
      <c r="E16" t="s">
        <v>78</v>
      </c>
    </row>
    <row r="17" spans="4:5" x14ac:dyDescent="0.25">
      <c r="D17" s="65" t="s">
        <v>32</v>
      </c>
      <c r="E17" t="s">
        <v>79</v>
      </c>
    </row>
    <row r="18" spans="4:5" x14ac:dyDescent="0.25">
      <c r="D18" s="65" t="s">
        <v>33</v>
      </c>
      <c r="E18" t="s">
        <v>80</v>
      </c>
    </row>
    <row r="19" spans="4:5" x14ac:dyDescent="0.25">
      <c r="D19" s="65" t="s">
        <v>34</v>
      </c>
      <c r="E19" t="s">
        <v>81</v>
      </c>
    </row>
    <row r="20" spans="4:5" x14ac:dyDescent="0.25">
      <c r="D20" s="65" t="s">
        <v>17</v>
      </c>
      <c r="E20" t="s">
        <v>82</v>
      </c>
    </row>
    <row r="21" spans="4:5" x14ac:dyDescent="0.25">
      <c r="D21" s="113" t="s">
        <v>35</v>
      </c>
      <c r="E21" t="s">
        <v>83</v>
      </c>
    </row>
    <row r="22" spans="4:5" ht="16.5" thickBot="1" x14ac:dyDescent="0.3">
      <c r="D22" s="114" t="s">
        <v>16</v>
      </c>
      <c r="E22" t="s">
        <v>84</v>
      </c>
    </row>
    <row r="25" spans="4:5" ht="16.5" thickBot="1" x14ac:dyDescent="0.3"/>
    <row r="26" spans="4:5" ht="16.5" thickBot="1" x14ac:dyDescent="0.3">
      <c r="D26" s="68" t="s">
        <v>102</v>
      </c>
    </row>
    <row r="27" spans="4:5" x14ac:dyDescent="0.25">
      <c r="D27" s="127"/>
    </row>
    <row r="28" spans="4:5" ht="16.5" thickBot="1" x14ac:dyDescent="0.3">
      <c r="D28" s="178" t="s">
        <v>101</v>
      </c>
    </row>
    <row r="29" spans="4:5" ht="16.5" thickBot="1" x14ac:dyDescent="0.3"/>
    <row r="30" spans="4:5" ht="16.5" thickBot="1" x14ac:dyDescent="0.3">
      <c r="D30" s="68" t="s">
        <v>104</v>
      </c>
    </row>
    <row r="31" spans="4:5" x14ac:dyDescent="0.25">
      <c r="D31" s="127" t="s">
        <v>105</v>
      </c>
    </row>
    <row r="32" spans="4:5" ht="16.5" thickBot="1" x14ac:dyDescent="0.3">
      <c r="D32" s="178" t="s">
        <v>101</v>
      </c>
    </row>
    <row r="33" spans="4:4" ht="16.5" thickBot="1" x14ac:dyDescent="0.3"/>
    <row r="34" spans="4:4" ht="16.5" thickBot="1" x14ac:dyDescent="0.3">
      <c r="D34" s="68" t="s">
        <v>106</v>
      </c>
    </row>
    <row r="35" spans="4:4" x14ac:dyDescent="0.25">
      <c r="D35" s="180">
        <v>1</v>
      </c>
    </row>
    <row r="36" spans="4:4" ht="16.5" thickBot="1" x14ac:dyDescent="0.3">
      <c r="D36" s="181">
        <v>1.5</v>
      </c>
    </row>
    <row r="37" spans="4:4" ht="16.5" thickBot="1" x14ac:dyDescent="0.3"/>
    <row r="38" spans="4:4" ht="16.5" thickBot="1" x14ac:dyDescent="0.3">
      <c r="D38" s="68" t="s">
        <v>118</v>
      </c>
    </row>
    <row r="39" spans="4:4" x14ac:dyDescent="0.25">
      <c r="D39" s="240">
        <v>1.5833333333333333</v>
      </c>
    </row>
    <row r="40" spans="4:4" x14ac:dyDescent="0.25">
      <c r="D40" s="241">
        <v>1.625</v>
      </c>
    </row>
    <row r="41" spans="4:4" ht="16.5" thickBot="1" x14ac:dyDescent="0.3">
      <c r="D41" s="242">
        <v>1.6666666666666667</v>
      </c>
    </row>
    <row r="42" spans="4:4" ht="16.5" thickBot="1" x14ac:dyDescent="0.3"/>
    <row r="43" spans="4:4" x14ac:dyDescent="0.25">
      <c r="D43" s="257" t="s">
        <v>133</v>
      </c>
    </row>
    <row r="44" spans="4:4" ht="16.5" thickBot="1" x14ac:dyDescent="0.3">
      <c r="D44" s="258">
        <v>0.15790000000000001</v>
      </c>
    </row>
    <row r="45" spans="4:4" ht="16.5" thickBot="1" x14ac:dyDescent="0.3">
      <c r="D45" s="259"/>
    </row>
    <row r="46" spans="4:4" x14ac:dyDescent="0.25">
      <c r="D46" s="257" t="s">
        <v>134</v>
      </c>
    </row>
    <row r="47" spans="4:4" ht="16.5" thickBot="1" x14ac:dyDescent="0.3">
      <c r="D47" s="258">
        <v>0.35</v>
      </c>
    </row>
  </sheetData>
  <sortState xmlns:xlrd2="http://schemas.microsoft.com/office/spreadsheetml/2017/richdata2" ref="H5:H20">
    <sortCondition ref="H20"/>
  </sortState>
  <mergeCells count="1">
    <mergeCell ref="A3:B3"/>
  </mergeCells>
  <phoneticPr fontId="0" type="noConversion"/>
  <dataValidations count="1">
    <dataValidation type="list" showInputMessage="1" showErrorMessage="1" sqref="F1:G1" xr:uid="{6029884A-ECBD-4634-8D3F-51656FA58DFC}">
      <formula1>$D$31:$D$32</formula1>
    </dataValidation>
  </dataValidation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B9F76DA69724991244713A927AD2A" ma:contentTypeVersion="19" ma:contentTypeDescription="Een nieuw document maken." ma:contentTypeScope="" ma:versionID="3678a41b949c62dc32e2378d56424516">
  <xsd:schema xmlns:xsd="http://www.w3.org/2001/XMLSchema" xmlns:xs="http://www.w3.org/2001/XMLSchema" xmlns:p="http://schemas.microsoft.com/office/2006/metadata/properties" xmlns:ns2="c257d913-0455-4e5a-b787-831991cf9ec0" xmlns:ns3="6250faf8-dba7-46a1-b522-0d658c3b0147" targetNamespace="http://schemas.microsoft.com/office/2006/metadata/properties" ma:root="true" ma:fieldsID="e657500ffb98f73bf91452e0a331080e" ns2:_="" ns3:_="">
    <xsd:import namespace="c257d913-0455-4e5a-b787-831991cf9ec0"/>
    <xsd:import namespace="6250faf8-dba7-46a1-b522-0d658c3b0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7d913-0455-4e5a-b787-831991cf9e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39ae8af3-ccc7-47a9-9536-dc50000375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0faf8-dba7-46a1-b522-0d658c3b01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1ede86-a9dd-4934-a663-be3da4f12354}" ma:internalName="TaxCatchAll" ma:showField="CatchAllData" ma:web="6250faf8-dba7-46a1-b522-0d658c3b0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50faf8-dba7-46a1-b522-0d658c3b0147" xsi:nil="true"/>
    <lcf76f155ced4ddcb4097134ff3c332f xmlns="c257d913-0455-4e5a-b787-831991cf9e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98655-F4B1-4CB8-A2E1-3640A3E94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57d913-0455-4e5a-b787-831991cf9ec0"/>
    <ds:schemaRef ds:uri="6250faf8-dba7-46a1-b522-0d658c3b0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9DB5B-84AD-43CD-8A72-88C33C487B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4A5DC3-B8D5-4DB3-925B-07E5BD66BA54}">
  <ds:schemaRefs>
    <ds:schemaRef ds:uri="http://schemas.microsoft.com/office/2006/metadata/properties"/>
    <ds:schemaRef ds:uri="http://schemas.microsoft.com/office/infopath/2007/PartnerControls"/>
    <ds:schemaRef ds:uri="6250faf8-dba7-46a1-b522-0d658c3b0147"/>
    <ds:schemaRef ds:uri="c257d913-0455-4e5a-b787-831991cf9e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14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13</vt:i4>
      </vt:variant>
    </vt:vector>
  </HeadingPairs>
  <TitlesOfParts>
    <vt:vector size="28" baseType="lpstr">
      <vt:lpstr>Jan</vt:lpstr>
      <vt:lpstr>Feb</vt:lpstr>
      <vt:lpstr>Maa</vt:lpstr>
      <vt:lpstr>Apr</vt:lpstr>
      <vt:lpstr>Mei</vt:lpstr>
      <vt:lpstr>Jun</vt:lpstr>
      <vt:lpstr>Jul</vt:lpstr>
      <vt:lpstr>Aug</vt:lpstr>
      <vt:lpstr>Sep</vt:lpstr>
      <vt:lpstr>Okt</vt:lpstr>
      <vt:lpstr>Nov</vt:lpstr>
      <vt:lpstr>Dec</vt:lpstr>
      <vt:lpstr>Jaaroverzicht</vt:lpstr>
      <vt:lpstr>Basisgegevens</vt:lpstr>
      <vt:lpstr>Jaar grafiek</vt:lpstr>
      <vt:lpstr>Apr!Afdrukbereik</vt:lpstr>
      <vt:lpstr>Aug!Afdrukbereik</vt:lpstr>
      <vt:lpstr>Dec!Afdrukbereik</vt:lpstr>
      <vt:lpstr>Feb!Afdrukbereik</vt:lpstr>
      <vt:lpstr>Jan!Afdrukbereik</vt:lpstr>
      <vt:lpstr>Jul!Afdrukbereik</vt:lpstr>
      <vt:lpstr>Jun!Afdrukbereik</vt:lpstr>
      <vt:lpstr>Maa!Afdrukbereik</vt:lpstr>
      <vt:lpstr>Mei!Afdrukbereik</vt:lpstr>
      <vt:lpstr>Nov!Afdrukbereik</vt:lpstr>
      <vt:lpstr>Okt!Afdrukbereik</vt:lpstr>
      <vt:lpstr>Sep!Afdrukbereik</vt:lpstr>
      <vt:lpstr>Speciale_dagen</vt:lpstr>
    </vt:vector>
  </TitlesOfParts>
  <Manager/>
  <Company>Soenen Controls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Stijn Diopere</dc:creator>
  <cp:keywords/>
  <dc:description/>
  <cp:lastModifiedBy>Stephanie Swatt</cp:lastModifiedBy>
  <cp:revision/>
  <cp:lastPrinted>2023-12-15T09:56:20Z</cp:lastPrinted>
  <dcterms:created xsi:type="dcterms:W3CDTF">1999-03-01T20:35:57Z</dcterms:created>
  <dcterms:modified xsi:type="dcterms:W3CDTF">2026-08-23T08:08:21Z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0x0101001ADB9F76DA69724991244713A927AD2A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